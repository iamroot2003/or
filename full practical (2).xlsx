
<file path=[Content_Types].xml><?xml version="1.0" encoding="utf-8"?>
<Types xmlns="http://schemas.openxmlformats.org/package/2006/content-type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4" yWindow="36" windowWidth="19104" windowHeight="7296"/>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s>
  <calcPr calcId="125725"/>
</workbook>
</file>

<file path=xl/calcChain.xml><?xml version="1.0" encoding="utf-8"?>
<calcChain xmlns="http://schemas.openxmlformats.org/spreadsheetml/2006/main">
  <c r="C14" i="7"/>
  <c r="D26" i="2"/>
  <c r="G24"/>
  <c r="E22"/>
  <c r="C22"/>
  <c r="C21"/>
  <c r="C12"/>
  <c r="C11"/>
  <c r="C13" s="1"/>
  <c r="C15" i="9"/>
  <c r="C16"/>
  <c r="C17"/>
  <c r="C18"/>
  <c r="C14"/>
  <c r="D18" i="12"/>
  <c r="D15"/>
  <c r="E11"/>
  <c r="E19" i="11"/>
  <c r="D18"/>
  <c r="E17"/>
  <c r="D13"/>
  <c r="D19" i="10"/>
  <c r="D20" s="1"/>
  <c r="D18"/>
  <c r="D13"/>
  <c r="C19" i="9" l="1"/>
  <c r="C16" i="2"/>
  <c r="C18"/>
  <c r="C8" i="8"/>
  <c r="C9" s="1"/>
  <c r="C11" i="6"/>
  <c r="C10"/>
  <c r="C12" s="1"/>
  <c r="C9"/>
  <c r="C9" i="5"/>
  <c r="C12" s="1"/>
  <c r="C13" i="4"/>
  <c r="C18" s="1"/>
  <c r="C12"/>
  <c r="C14" s="1"/>
  <c r="C11"/>
  <c r="D17" i="3"/>
  <c r="D19" s="1"/>
  <c r="H12"/>
  <c r="H13" s="1"/>
  <c r="H14" s="1"/>
  <c r="D12"/>
  <c r="D13" s="1"/>
  <c r="D14" s="1"/>
  <c r="D10"/>
  <c r="C10" i="8" l="1"/>
  <c r="C11" s="1"/>
  <c r="C16" i="6"/>
  <c r="C15"/>
  <c r="C13"/>
  <c r="C11" i="5"/>
  <c r="C16"/>
  <c r="C17" s="1"/>
  <c r="C13"/>
  <c r="C15" s="1"/>
  <c r="C15" i="4"/>
  <c r="C17" s="1"/>
  <c r="C19"/>
  <c r="C20" s="1"/>
  <c r="D21" i="3"/>
  <c r="D22" s="1"/>
  <c r="D23" s="1"/>
  <c r="E22" i="9" l="1"/>
  <c r="B11"/>
  <c r="E21" s="1"/>
  <c r="E26" i="13"/>
  <c r="E25"/>
  <c r="E24"/>
  <c r="E23"/>
  <c r="E22"/>
  <c r="E21"/>
  <c r="E20"/>
  <c r="D29" s="1"/>
  <c r="D30" s="1"/>
  <c r="C17"/>
  <c r="C16"/>
  <c r="C15"/>
  <c r="C20" s="1"/>
  <c r="D20" s="1"/>
  <c r="F20" s="1"/>
  <c r="F27" s="1"/>
  <c r="C11"/>
  <c r="B16" i="14"/>
  <c r="B15"/>
  <c r="B14"/>
  <c r="B13"/>
  <c r="B12"/>
  <c r="B11"/>
  <c r="B10"/>
  <c r="B9"/>
  <c r="B6"/>
  <c r="B7" s="1"/>
  <c r="B5"/>
  <c r="B17" l="1"/>
  <c r="D28" i="13"/>
  <c r="C21"/>
  <c r="C22" l="1"/>
  <c r="D21"/>
  <c r="F21" s="1"/>
  <c r="D22" l="1"/>
  <c r="F22" s="1"/>
  <c r="C23"/>
  <c r="C24" l="1"/>
  <c r="D23"/>
  <c r="F23" s="1"/>
  <c r="D24" l="1"/>
  <c r="F24" s="1"/>
  <c r="C25"/>
  <c r="C26" l="1"/>
  <c r="D26" s="1"/>
  <c r="F26" s="1"/>
  <c r="D25"/>
  <c r="F25" s="1"/>
</calcChain>
</file>

<file path=xl/sharedStrings.xml><?xml version="1.0" encoding="utf-8"?>
<sst xmlns="http://schemas.openxmlformats.org/spreadsheetml/2006/main" count="248" uniqueCount="149">
  <si>
    <t>A cafeteria with self-service has an arrival rate of 12/hour. The average time taken by a person to collect and eat his meal is 20 minutes. Assuming that the inter arrival times are exponentially distributed, how many seats must the cafeteria have to accomodate each customer with probability 0.95?</t>
  </si>
  <si>
    <t>μ</t>
  </si>
  <si>
    <t>/min</t>
  </si>
  <si>
    <t>λ</t>
  </si>
  <si>
    <t>ρ</t>
  </si>
  <si>
    <r>
      <t>p</t>
    </r>
    <r>
      <rPr>
        <vertAlign val="subscript"/>
        <sz val="11"/>
        <color theme="1"/>
        <rFont val="Calibri"/>
        <family val="2"/>
        <scheme val="minor"/>
      </rPr>
      <t>n</t>
    </r>
  </si>
  <si>
    <t>P(n&lt;=k)</t>
  </si>
  <si>
    <t>The cafeteria must have 7 seats to accomodate each customer with probability 0.95</t>
  </si>
  <si>
    <t>Ques 8)</t>
  </si>
  <si>
    <t>Ques 13)</t>
  </si>
  <si>
    <t>An international airport operates with three check-out counters. The sign by the check-out area advices the customers that an additional courter will be opened any time the number of customers in the queue exceeds three. This means that for the fewer than 4 customers, only one counter wil be in operation. For four to six customers, two counter will be open. For more than six customers, all three counters will be open. The customers arrive at the counters are according to Poisson distribution with a mean of 10 customers per hour. The average checkout time per customer is exponential with mean 12 minutes. Determine the following:</t>
  </si>
  <si>
    <t>i) Steady state probability Pn of n customers in the checkout area.</t>
  </si>
  <si>
    <t>ii) Average no of busy counters.</t>
  </si>
  <si>
    <t>iii) Average no of idle counters.</t>
  </si>
  <si>
    <t>/hr</t>
  </si>
  <si>
    <t>customer/hr</t>
  </si>
  <si>
    <t>counters</t>
  </si>
  <si>
    <t>μ(customer/hr)</t>
  </si>
  <si>
    <t>n</t>
  </si>
  <si>
    <t>sum_elem</t>
  </si>
  <si>
    <t>no. of idle counter</t>
  </si>
  <si>
    <t>idle counter</t>
  </si>
  <si>
    <t>&gt;7</t>
  </si>
  <si>
    <r>
      <t>p</t>
    </r>
    <r>
      <rPr>
        <vertAlign val="subscript"/>
        <sz val="11"/>
        <color theme="1"/>
        <rFont val="Calibri"/>
        <family val="2"/>
        <scheme val="minor"/>
      </rPr>
      <t>0</t>
    </r>
  </si>
  <si>
    <t>Avg no. Ideal Counters</t>
  </si>
  <si>
    <t>Avg no. of Busy Counter</t>
  </si>
  <si>
    <t>Ques 12)</t>
  </si>
  <si>
    <t>A shipping company has a single unloading dock with ships arriving in a Poisson fashion at an average rate of 3/day. The unloading time distribution for a ship with n unloading crews is found to be exponential with average unloading time 1/2n days. The company has a large labour supply without regular working hours, and to avoid long waiting times, the company has a policy of using as many unloading crews as there are ships waiting in line or being unloaded. Find</t>
  </si>
  <si>
    <t>(a) the average number of unloading crews working at any time, and</t>
  </si>
  <si>
    <t>(b) the probability that more than 4 crews will be needed.</t>
  </si>
  <si>
    <t>ships/day</t>
  </si>
  <si>
    <r>
      <t>μ</t>
    </r>
    <r>
      <rPr>
        <vertAlign val="subscript"/>
        <sz val="11"/>
        <color theme="1"/>
        <rFont val="Calibri"/>
        <family val="2"/>
      </rPr>
      <t xml:space="preserve">n </t>
    </r>
    <r>
      <rPr>
        <sz val="11"/>
        <color theme="1"/>
        <rFont val="Calibri"/>
        <family val="2"/>
      </rPr>
      <t>= n*μ</t>
    </r>
    <r>
      <rPr>
        <vertAlign val="subscript"/>
        <sz val="11"/>
        <color theme="1"/>
        <rFont val="Calibri"/>
        <family val="2"/>
      </rPr>
      <t xml:space="preserve"> </t>
    </r>
  </si>
  <si>
    <r>
      <t>p</t>
    </r>
    <r>
      <rPr>
        <vertAlign val="subscript"/>
        <sz val="11"/>
        <color theme="1"/>
        <rFont val="Calibri"/>
        <family val="2"/>
        <scheme val="minor"/>
      </rPr>
      <t>1</t>
    </r>
  </si>
  <si>
    <r>
      <t>p</t>
    </r>
    <r>
      <rPr>
        <vertAlign val="subscript"/>
        <sz val="11"/>
        <color theme="1"/>
        <rFont val="Calibri"/>
        <family val="2"/>
        <scheme val="minor"/>
      </rPr>
      <t>2</t>
    </r>
    <r>
      <rPr>
        <sz val="11"/>
        <color theme="1"/>
        <rFont val="Calibri"/>
        <family val="2"/>
        <scheme val="minor"/>
      </rPr>
      <t/>
    </r>
  </si>
  <si>
    <r>
      <t>p</t>
    </r>
    <r>
      <rPr>
        <vertAlign val="subscript"/>
        <sz val="11"/>
        <color theme="1"/>
        <rFont val="Calibri"/>
        <family val="2"/>
        <scheme val="minor"/>
      </rPr>
      <t>3</t>
    </r>
    <r>
      <rPr>
        <sz val="11"/>
        <color theme="1"/>
        <rFont val="Calibri"/>
        <family val="2"/>
        <scheme val="minor"/>
      </rPr>
      <t/>
    </r>
  </si>
  <si>
    <r>
      <t>p</t>
    </r>
    <r>
      <rPr>
        <vertAlign val="subscript"/>
        <sz val="11"/>
        <color theme="1"/>
        <rFont val="Calibri"/>
        <family val="2"/>
        <scheme val="minor"/>
      </rPr>
      <t>4</t>
    </r>
    <r>
      <rPr>
        <sz val="11"/>
        <color theme="1"/>
        <rFont val="Calibri"/>
        <family val="2"/>
        <scheme val="minor"/>
      </rPr>
      <t/>
    </r>
  </si>
  <si>
    <t>Total</t>
  </si>
  <si>
    <t>Expected number of unloading crews</t>
  </si>
  <si>
    <t>Prob that more than 4 crews will be needed</t>
  </si>
  <si>
    <t>A bank has two counters for withdrawals. One counter handles withdrawals of value less than Rs. 1,000 and the other counter Rs. 1,000 and above. Analysis of service time shows an exponential distribution with mean service time of 6 minutes per customer for each counter. Arrival of customers follows Poisson distribution with mean 8 per hour for the first counter and 5 per hour for the second counter</t>
  </si>
  <si>
    <t xml:space="preserve">(a) What are the average waiting times per customer of each counter? </t>
  </si>
  <si>
    <t>(b)  If each counter could handle all withdrawals irrespective of their value, how would the average waiting time change?</t>
  </si>
  <si>
    <t>(a)</t>
  </si>
  <si>
    <t>Counter 1</t>
  </si>
  <si>
    <t>&lt;1000</t>
  </si>
  <si>
    <t>Counter 2</t>
  </si>
  <si>
    <t>&gt;=1000</t>
  </si>
  <si>
    <t>Average Time</t>
  </si>
  <si>
    <t>hr</t>
  </si>
  <si>
    <t>min</t>
  </si>
  <si>
    <t>(b)</t>
  </si>
  <si>
    <t>c</t>
  </si>
  <si>
    <t xml:space="preserve">                                                                                                                                                                                                     </t>
  </si>
  <si>
    <t>Now, it works as M|M|2 model so;</t>
  </si>
  <si>
    <t>Ques 2)</t>
  </si>
  <si>
    <t xml:space="preserve">A supermarket has two girls ringing up sales at the counters. If the service time for each customer is exponential with mean 4 minutes, and if people arrive in a Poisson fashion at the rate of 10/hour, </t>
  </si>
  <si>
    <t xml:space="preserve">(a) What is the probability of having to wait for the service? </t>
  </si>
  <si>
    <t>(b)  What is the expected percentage of idle time for each girl?</t>
  </si>
  <si>
    <t>(c) Find the average queue length and the average number of units in the system.</t>
  </si>
  <si>
    <t>Service channel remain busy</t>
  </si>
  <si>
    <r>
      <t>(c) L</t>
    </r>
    <r>
      <rPr>
        <vertAlign val="subscript"/>
        <sz val="11"/>
        <color theme="1"/>
        <rFont val="Calibri"/>
        <family val="2"/>
      </rPr>
      <t>q</t>
    </r>
  </si>
  <si>
    <r>
      <t>L</t>
    </r>
    <r>
      <rPr>
        <vertAlign val="subscript"/>
        <sz val="11"/>
        <color theme="1"/>
        <rFont val="Calibri"/>
        <family val="2"/>
      </rPr>
      <t>s</t>
    </r>
  </si>
  <si>
    <t>Ques 3)</t>
  </si>
  <si>
    <t>A telephone exchange has two long distant operators. The telephone company finds that during the fashion at an average rate of 15/hr. The length mean of 5 mins.</t>
  </si>
  <si>
    <t>(a) what is the probability that a subscriber will have to wait for his long distant dials on the peak hour of the day.</t>
  </si>
  <si>
    <t>(b) what is the average waiting time for the customers.</t>
  </si>
  <si>
    <t>Ques 4)</t>
  </si>
  <si>
    <t>An insurance company has 3 clerks in its branch office. People arrive with claims against the company are found to arrive in a Poisson fashion at an average of 20 per 8 hours a day. The amount of time that a clerk spends with the client is found to have ED with a mean time of 40 mins. The clients are processed in the order of their appearance.</t>
  </si>
  <si>
    <t>(a) How many hours a week can a clerk expect to spend with the clients.</t>
  </si>
  <si>
    <t>(b) How much time an average does a client spend in the branch office.</t>
  </si>
  <si>
    <t>Ques 5)</t>
  </si>
  <si>
    <t>Four counters are being run on the frontier of a country to check the passports and necessary papers of the tourists. The tourists choose a counter at random. If arrivals are Poisson at the rate λ and the service time is exponential with parameter λ/2, what is the steady state average queue at each counter?</t>
  </si>
  <si>
    <t>Let λ be any number to solve this ques further, suppose λ=10</t>
  </si>
  <si>
    <r>
      <t>L</t>
    </r>
    <r>
      <rPr>
        <vertAlign val="subscript"/>
        <sz val="11"/>
        <color theme="1"/>
        <rFont val="Calibri"/>
        <family val="2"/>
      </rPr>
      <t>q</t>
    </r>
  </si>
  <si>
    <t>Ques 7)</t>
  </si>
  <si>
    <t xml:space="preserve">A component with time to failure T has constant failure rate
</t>
  </si>
  <si>
    <r>
      <t>z(t)= λ = 2.5*10</t>
    </r>
    <r>
      <rPr>
        <vertAlign val="superscript"/>
        <sz val="11"/>
        <color theme="1"/>
        <rFont val="Calibri"/>
        <family val="2"/>
        <scheme val="minor"/>
      </rPr>
      <t>-5</t>
    </r>
    <r>
      <rPr>
        <sz val="11"/>
        <color theme="1"/>
        <rFont val="Calibri"/>
        <family val="2"/>
        <scheme val="minor"/>
      </rPr>
      <t xml:space="preserve"> (hours)</t>
    </r>
    <r>
      <rPr>
        <vertAlign val="superscript"/>
        <sz val="11"/>
        <color theme="1"/>
        <rFont val="Calibri"/>
        <family val="2"/>
        <scheme val="minor"/>
      </rPr>
      <t>-1</t>
    </r>
  </si>
  <si>
    <t xml:space="preserve">(a) Determine the probability that the component survives a period of 2 months without failure..
</t>
  </si>
  <si>
    <t>(b) Find the MTTF of the component.</t>
  </si>
  <si>
    <t>(c) Find the probability that the component survives its MTTF.</t>
  </si>
  <si>
    <t>Constant failure rate implies an exponential distribution, i.e,</t>
  </si>
  <si>
    <r>
      <t xml:space="preserve">f(t) = </t>
    </r>
    <r>
      <rPr>
        <sz val="11"/>
        <color rgb="FF000000"/>
        <rFont val="Symbol"/>
        <family val="1"/>
        <charset val="2"/>
      </rPr>
      <t>l</t>
    </r>
    <r>
      <rPr>
        <sz val="11"/>
        <color rgb="FF000000"/>
        <rFont val="Calibri"/>
        <family val="2"/>
      </rPr>
      <t>*exp(-</t>
    </r>
    <r>
      <rPr>
        <sz val="11"/>
        <color rgb="FF000000"/>
        <rFont val="Symbol"/>
        <family val="1"/>
        <charset val="2"/>
      </rPr>
      <t>l</t>
    </r>
    <r>
      <rPr>
        <sz val="11"/>
        <color rgb="FF000000"/>
        <rFont val="Calibri"/>
        <family val="2"/>
      </rPr>
      <t>*t)</t>
    </r>
  </si>
  <si>
    <r>
      <t>F(t) = 1-</t>
    </r>
    <r>
      <rPr>
        <sz val="11"/>
        <color rgb="FF000000"/>
        <rFont val="Calibri"/>
        <family val="2"/>
      </rPr>
      <t>exp(-</t>
    </r>
    <r>
      <rPr>
        <sz val="11"/>
        <color rgb="FF000000"/>
        <rFont val="Symbol"/>
        <family val="1"/>
        <charset val="2"/>
      </rPr>
      <t>l</t>
    </r>
    <r>
      <rPr>
        <sz val="11"/>
        <color rgb="FF000000"/>
        <rFont val="Calibri"/>
        <family val="2"/>
      </rPr>
      <t>*t)</t>
    </r>
  </si>
  <si>
    <r>
      <t>MTTF = 1/</t>
    </r>
    <r>
      <rPr>
        <sz val="11"/>
        <color rgb="FF000000"/>
        <rFont val="Symbol"/>
        <family val="1"/>
        <charset val="2"/>
      </rPr>
      <t>l</t>
    </r>
  </si>
  <si>
    <t>l</t>
  </si>
  <si>
    <t>(given)</t>
  </si>
  <si>
    <t>t</t>
  </si>
  <si>
    <t>months</t>
  </si>
  <si>
    <t>days</t>
  </si>
  <si>
    <t>hours</t>
  </si>
  <si>
    <t>a)</t>
  </si>
  <si>
    <t>P(T&gt;1440)</t>
  </si>
  <si>
    <t>b)</t>
  </si>
  <si>
    <t>MTTF</t>
  </si>
  <si>
    <t>c)</t>
  </si>
  <si>
    <t>P(T&gt;40000)</t>
  </si>
  <si>
    <t>Ques 9)</t>
  </si>
  <si>
    <t xml:space="preserve">A machine with constant failure rate &amp; will survive a period of 100 hours without failure, with probability 0.50.
</t>
  </si>
  <si>
    <t xml:space="preserve">(a) Determine the failure rate λ.
</t>
  </si>
  <si>
    <t>(b) Find the probability that the machine will survive 500 hours without failure.</t>
  </si>
  <si>
    <t>(c) Determine the probability that the machine will fail within 1000 hours, when you know that the machine was functioning at 500 hours.</t>
  </si>
  <si>
    <r>
      <t>To determine failure rate "</t>
    </r>
    <r>
      <rPr>
        <sz val="11"/>
        <color rgb="FF000000"/>
        <rFont val="Symbol"/>
        <family val="1"/>
        <charset val="2"/>
      </rPr>
      <t>l</t>
    </r>
    <r>
      <rPr>
        <sz val="11"/>
        <color rgb="FF000000"/>
        <rFont val="Calibri"/>
        <family val="2"/>
      </rPr>
      <t>"</t>
    </r>
  </si>
  <si>
    <t>P(T&gt;100)</t>
  </si>
  <si>
    <t>P(T&gt;500)</t>
  </si>
  <si>
    <t>P(T&lt;=1000|T&gt;500)</t>
  </si>
  <si>
    <t>P(500&lt;=T&lt;=1000)/P(T&gt;500)</t>
  </si>
  <si>
    <t>(P(T&lt;=1000)-P(T&lt;=500))/(1-P(T&lt;=500))</t>
  </si>
  <si>
    <t>Ques 10)</t>
  </si>
  <si>
    <t>A safety valve is assumed to have constant failure rate with respect to all failure modes. A study has shown that the total MTTF of the valve is 2450 days. The safety valve is in continuous operation, and the failure modes are assumed to occur independent of each other.</t>
  </si>
  <si>
    <t>(a) Determine the total failure rate of the safety valve.</t>
  </si>
  <si>
    <t>(b) Determine the probability that the safety valve will survive a period of 3 months without any failure.</t>
  </si>
  <si>
    <r>
      <t>(c) Of all failures 45% are assumed to be critical failure modes. Determine the mean time to a critical failure, MTTF</t>
    </r>
    <r>
      <rPr>
        <vertAlign val="subscript"/>
        <sz val="11"/>
        <color rgb="FF000000"/>
        <rFont val="Calibri"/>
        <family val="2"/>
        <scheme val="minor"/>
      </rPr>
      <t>crit</t>
    </r>
  </si>
  <si>
    <t>Total MTTF</t>
  </si>
  <si>
    <t>Total Failure Rate</t>
  </si>
  <si>
    <t>Since, the failure model has a constant failure rate, the distribution corresponds to exponential distribution.</t>
  </si>
  <si>
    <t>P(T&gt;90)</t>
  </si>
  <si>
    <t>P(X&gt;x)</t>
  </si>
  <si>
    <t>x</t>
  </si>
  <si>
    <t>Hence, the mean time to critical failure is 1956 days.</t>
  </si>
  <si>
    <t>Ques 11)</t>
  </si>
  <si>
    <t>Question 1: 
On an average 96 patients per  24 hour day require  the service of an emergency clinic, also on an average a patient require 10mins of active  attention.  Assume that facility can handle only 1 emergency at a time. The cost of cleaning is Rs. 100/person treated to obtain a average servicing time of 10min and that each min of decrease  in this average time would cost Rs. 10/ patient treated.
How much would have to be budgeted to decrease  the average to decrease the average size of queue from  4/3 patient to 1/2 patient.</t>
  </si>
  <si>
    <t>How much would have to be budgeted to decrease  the average to decrease the average size of queue from  4/3 patient to 1/2 patient.</t>
  </si>
  <si>
    <t>From the data of the problem, we have</t>
  </si>
  <si>
    <t>Arrival Rate (λ)</t>
  </si>
  <si>
    <t>patients per minute</t>
  </si>
  <si>
    <t>Service Rate (μ)</t>
  </si>
  <si>
    <t>Average number of patients in the queue</t>
  </si>
  <si>
    <t>Lq = ρ^2 /(1-ρ)</t>
  </si>
  <si>
    <t>Fraction of the time for which there no patients.</t>
  </si>
  <si>
    <r>
      <t>p</t>
    </r>
    <r>
      <rPr>
        <vertAlign val="subscript"/>
        <sz val="11"/>
        <color theme="1"/>
        <rFont val="Calibri"/>
        <family val="2"/>
        <scheme val="minor"/>
      </rPr>
      <t>0</t>
    </r>
    <r>
      <rPr>
        <sz val="11"/>
        <color theme="1"/>
        <rFont val="Calibri"/>
        <family val="2"/>
      </rPr>
      <t xml:space="preserve"> = 1- ρ</t>
    </r>
  </si>
  <si>
    <t>When the average queue size is desceased from 4/3 patient, the new service rate is determined as:</t>
  </si>
  <si>
    <t>Lq = λ^2 /μ(μ-λ)</t>
  </si>
  <si>
    <t>Lq</t>
  </si>
  <si>
    <t xml:space="preserve"> or 2/15</t>
  </si>
  <si>
    <t>Average rate of treatment required is: 1/μ = 15/2 or</t>
  </si>
  <si>
    <t>minutes i.e. a decrease in the average rate of treatment is 2.5 (=10-7.5) minutes.</t>
  </si>
  <si>
    <t>Budget per patient</t>
  </si>
  <si>
    <t>Rs per patient</t>
  </si>
  <si>
    <t>Customers arrive at an average rate 20 per hour on a supermarket counter as per Poisson distribution. What will be the average service rate of the clerk on the counter to ensure that 95% of the customer will not have to wait not have to wait for more than 20 minutes in the queue?(Service time has exponential distribution)</t>
  </si>
  <si>
    <t>?</t>
  </si>
  <si>
    <t>Probability that the waiting time in the queue is greater than T.</t>
  </si>
  <si>
    <t>W</t>
  </si>
  <si>
    <t>P(w&gt;T)</t>
  </si>
  <si>
    <t>P(T&lt;20)=1-P(T&gt;20)</t>
  </si>
  <si>
    <t>on solving we have:</t>
  </si>
  <si>
    <t>log(0.15μ)+20μ=0.002866</t>
  </si>
  <si>
    <t>per minutes</t>
  </si>
  <si>
    <t>per hour</t>
  </si>
  <si>
    <t>Ques 6)</t>
  </si>
</sst>
</file>

<file path=xl/styles.xml><?xml version="1.0" encoding="utf-8"?>
<styleSheet xmlns="http://schemas.openxmlformats.org/spreadsheetml/2006/main">
  <numFmts count="3">
    <numFmt numFmtId="164" formatCode="0.000000"/>
    <numFmt numFmtId="165" formatCode="0.00000"/>
    <numFmt numFmtId="166" formatCode="0.000"/>
  </numFmts>
  <fonts count="19">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vertAlign val="subscript"/>
      <sz val="11"/>
      <color theme="1"/>
      <name val="Calibri"/>
      <family val="2"/>
      <scheme val="minor"/>
    </font>
    <font>
      <vertAlign val="subscript"/>
      <sz val="11"/>
      <color theme="1"/>
      <name val="Calibri"/>
      <family val="2"/>
    </font>
    <font>
      <sz val="11"/>
      <color rgb="FF000000"/>
      <name val="Calibri"/>
      <family val="2"/>
      <scheme val="minor"/>
    </font>
    <font>
      <b/>
      <sz val="11"/>
      <color rgb="FF000000"/>
      <name val="Calibri"/>
      <family val="2"/>
      <scheme val="minor"/>
    </font>
    <font>
      <vertAlign val="superscript"/>
      <sz val="11"/>
      <color theme="1"/>
      <name val="Calibri"/>
      <family val="2"/>
      <scheme val="minor"/>
    </font>
    <font>
      <sz val="11"/>
      <color rgb="FF000000"/>
      <name val="Symbol"/>
      <family val="1"/>
      <charset val="2"/>
    </font>
    <font>
      <sz val="11"/>
      <color rgb="FF000000"/>
      <name val="Calibri"/>
      <family val="2"/>
    </font>
    <font>
      <vertAlign val="subscript"/>
      <sz val="11"/>
      <color rgb="FF000000"/>
      <name val="Calibri"/>
      <family val="2"/>
      <scheme val="minor"/>
    </font>
    <font>
      <b/>
      <sz val="28"/>
      <color rgb="FF0070C0"/>
      <name val="Calibri"/>
      <family val="2"/>
      <scheme val="minor"/>
    </font>
    <font>
      <sz val="26"/>
      <color rgb="FF0070C0"/>
      <name val="Calibri"/>
      <family val="2"/>
      <scheme val="minor"/>
    </font>
    <font>
      <sz val="28"/>
      <color rgb="FF0070C0"/>
      <name val="Calibri"/>
      <family val="2"/>
      <scheme val="minor"/>
    </font>
    <font>
      <b/>
      <sz val="18"/>
      <color rgb="FF0070C0"/>
      <name val="Calibri"/>
      <family val="2"/>
      <scheme val="minor"/>
    </font>
    <font>
      <sz val="18"/>
      <color rgb="FF0070C0"/>
      <name val="Calibri"/>
      <family val="2"/>
      <scheme val="minor"/>
    </font>
    <font>
      <b/>
      <sz val="12"/>
      <color theme="1"/>
      <name val="Calibri"/>
      <family val="2"/>
      <scheme val="minor"/>
    </font>
    <font>
      <u/>
      <sz val="12"/>
      <color theme="1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A9D08E"/>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8" tint="0.7999816888943144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7">
    <xf numFmtId="0" fontId="0" fillId="0" borderId="0"/>
    <xf numFmtId="9" fontId="1" fillId="0" borderId="0" applyFont="0" applyFill="0" applyBorder="0" applyAlignment="0" applyProtection="0"/>
    <xf numFmtId="0" fontId="1" fillId="0" borderId="0"/>
    <xf numFmtId="0" fontId="6" fillId="0" borderId="0"/>
    <xf numFmtId="9" fontId="6" fillId="0" borderId="0" applyFont="0" applyFill="0" applyBorder="0" applyAlignment="0" applyProtection="0"/>
    <xf numFmtId="0" fontId="6" fillId="0" borderId="0"/>
    <xf numFmtId="0" fontId="18" fillId="0" borderId="0" applyNumberFormat="0" applyFill="0" applyBorder="0" applyAlignment="0" applyProtection="0"/>
  </cellStyleXfs>
  <cellXfs count="122">
    <xf numFmtId="0" fontId="0" fillId="0" borderId="0" xfId="0"/>
    <xf numFmtId="0" fontId="1" fillId="0" borderId="0" xfId="2"/>
    <xf numFmtId="2" fontId="1" fillId="0" borderId="0" xfId="2" applyNumberFormat="1"/>
    <xf numFmtId="0" fontId="1" fillId="0" borderId="0" xfId="2" applyAlignment="1">
      <alignment wrapText="1"/>
    </xf>
    <xf numFmtId="0" fontId="1" fillId="3" borderId="7" xfId="2" applyFill="1" applyBorder="1"/>
    <xf numFmtId="2" fontId="1" fillId="0" borderId="7" xfId="2" applyNumberFormat="1" applyBorder="1"/>
    <xf numFmtId="0" fontId="1" fillId="0" borderId="7" xfId="2" applyBorder="1"/>
    <xf numFmtId="0" fontId="3" fillId="4" borderId="7" xfId="2" applyFont="1" applyFill="1" applyBorder="1"/>
    <xf numFmtId="0" fontId="0" fillId="0" borderId="0" xfId="2" applyFont="1"/>
    <xf numFmtId="0" fontId="1" fillId="4" borderId="7" xfId="2" applyFill="1" applyBorder="1"/>
    <xf numFmtId="0" fontId="1" fillId="0" borderId="7" xfId="2" applyFont="1" applyBorder="1"/>
    <xf numFmtId="0" fontId="1" fillId="4" borderId="7" xfId="2" applyFont="1" applyFill="1" applyBorder="1"/>
    <xf numFmtId="0" fontId="1" fillId="4" borderId="7" xfId="2" applyFill="1" applyBorder="1" applyAlignment="1">
      <alignment wrapText="1"/>
    </xf>
    <xf numFmtId="164" fontId="1" fillId="0" borderId="7" xfId="2" applyNumberFormat="1" applyBorder="1"/>
    <xf numFmtId="165" fontId="1" fillId="0" borderId="7" xfId="2" applyNumberFormat="1" applyBorder="1"/>
    <xf numFmtId="1" fontId="1" fillId="0" borderId="7" xfId="2" applyNumberFormat="1" applyBorder="1"/>
    <xf numFmtId="164" fontId="1" fillId="0" borderId="0" xfId="2" applyNumberFormat="1"/>
    <xf numFmtId="166" fontId="1" fillId="0" borderId="7" xfId="2" applyNumberFormat="1" applyBorder="1"/>
    <xf numFmtId="0" fontId="6" fillId="0" borderId="0" xfId="3"/>
    <xf numFmtId="0" fontId="6" fillId="0" borderId="0" xfId="3" applyAlignment="1">
      <alignment horizontal="right"/>
    </xf>
    <xf numFmtId="0" fontId="2" fillId="4" borderId="7" xfId="2" applyFont="1" applyFill="1" applyBorder="1"/>
    <xf numFmtId="2" fontId="7" fillId="0" borderId="7" xfId="3" applyNumberFormat="1" applyFont="1" applyBorder="1"/>
    <xf numFmtId="0" fontId="6" fillId="0" borderId="7" xfId="3" applyBorder="1"/>
    <xf numFmtId="2" fontId="6" fillId="0" borderId="7" xfId="3" applyNumberFormat="1" applyBorder="1"/>
    <xf numFmtId="9" fontId="0" fillId="0" borderId="7" xfId="1" applyFont="1" applyBorder="1" applyAlignment="1"/>
    <xf numFmtId="0" fontId="3" fillId="3" borderId="7" xfId="3" applyFont="1" applyFill="1" applyBorder="1"/>
    <xf numFmtId="2" fontId="0" fillId="0" borderId="7" xfId="4" applyNumberFormat="1" applyFont="1" applyBorder="1" applyAlignment="1"/>
    <xf numFmtId="0" fontId="1" fillId="0" borderId="0" xfId="2" applyFill="1"/>
    <xf numFmtId="0" fontId="1" fillId="0" borderId="0" xfId="2" applyFill="1" applyBorder="1" applyAlignment="1">
      <alignment horizontal="left" wrapText="1"/>
    </xf>
    <xf numFmtId="0" fontId="3" fillId="4" borderId="13" xfId="2" applyFont="1" applyFill="1" applyBorder="1"/>
    <xf numFmtId="2" fontId="6" fillId="0" borderId="13" xfId="3" applyNumberFormat="1" applyBorder="1"/>
    <xf numFmtId="0" fontId="6" fillId="0" borderId="13" xfId="3" applyBorder="1"/>
    <xf numFmtId="0" fontId="9" fillId="4" borderId="7" xfId="3" applyFont="1" applyFill="1" applyBorder="1"/>
    <xf numFmtId="0" fontId="6" fillId="4" borderId="7" xfId="3" applyFill="1" applyBorder="1"/>
    <xf numFmtId="166" fontId="6" fillId="0" borderId="0" xfId="3" applyNumberFormat="1"/>
    <xf numFmtId="0" fontId="1" fillId="0" borderId="0" xfId="2" applyAlignment="1">
      <alignment horizontal="left" wrapText="1"/>
    </xf>
    <xf numFmtId="0" fontId="6" fillId="0" borderId="0" xfId="3" applyFill="1"/>
    <xf numFmtId="0" fontId="9" fillId="0" borderId="0" xfId="3" applyFont="1" applyFill="1" applyBorder="1"/>
    <xf numFmtId="0" fontId="6" fillId="0" borderId="0" xfId="3" applyFill="1" applyBorder="1"/>
    <xf numFmtId="166" fontId="6" fillId="0" borderId="0" xfId="3" applyNumberFormat="1" applyAlignment="1">
      <alignment horizontal="right"/>
    </xf>
    <xf numFmtId="0" fontId="6" fillId="4" borderId="7" xfId="3" applyFill="1" applyBorder="1" applyAlignment="1"/>
    <xf numFmtId="0" fontId="0" fillId="0" borderId="7" xfId="2" applyFont="1" applyBorder="1" applyAlignment="1">
      <alignment horizontal="left" wrapText="1"/>
    </xf>
    <xf numFmtId="0" fontId="1" fillId="0" borderId="7" xfId="2" applyBorder="1" applyAlignment="1">
      <alignment horizontal="left" wrapText="1"/>
    </xf>
    <xf numFmtId="0" fontId="6" fillId="4" borderId="14" xfId="3" applyFill="1" applyBorder="1"/>
    <xf numFmtId="1" fontId="6" fillId="4" borderId="7" xfId="3" applyNumberFormat="1" applyFill="1" applyBorder="1"/>
    <xf numFmtId="0" fontId="6" fillId="0" borderId="0" xfId="5"/>
    <xf numFmtId="0" fontId="0" fillId="5" borderId="0" xfId="0" applyFill="1"/>
    <xf numFmtId="0" fontId="0" fillId="4" borderId="7" xfId="0" applyFill="1" applyBorder="1"/>
    <xf numFmtId="0" fontId="0" fillId="5" borderId="7" xfId="0" applyFill="1" applyBorder="1"/>
    <xf numFmtId="0" fontId="0" fillId="5" borderId="0" xfId="0" applyFill="1" applyAlignment="1">
      <alignment vertical="top"/>
    </xf>
    <xf numFmtId="0" fontId="0" fillId="5" borderId="0" xfId="0" applyFill="1" applyAlignment="1">
      <alignment vertical="top" wrapText="1"/>
    </xf>
    <xf numFmtId="0" fontId="0" fillId="7" borderId="7" xfId="0" applyFill="1" applyBorder="1"/>
    <xf numFmtId="0" fontId="3" fillId="4" borderId="14" xfId="2" applyFont="1" applyFill="1" applyBorder="1"/>
    <xf numFmtId="0" fontId="0" fillId="5" borderId="14" xfId="0" applyFill="1" applyBorder="1"/>
    <xf numFmtId="0" fontId="0" fillId="4" borderId="14" xfId="0" applyFill="1" applyBorder="1"/>
    <xf numFmtId="0" fontId="0" fillId="8" borderId="7" xfId="0" applyFill="1" applyBorder="1"/>
    <xf numFmtId="0" fontId="17" fillId="5" borderId="0" xfId="0" applyFont="1" applyFill="1" applyAlignment="1">
      <alignment vertical="center" wrapText="1"/>
    </xf>
    <xf numFmtId="0" fontId="0" fillId="5" borderId="0" xfId="0" applyFill="1" applyAlignment="1">
      <alignment vertical="center" wrapText="1"/>
    </xf>
    <xf numFmtId="0" fontId="0" fillId="5" borderId="7" xfId="0" applyFill="1" applyBorder="1" applyAlignment="1">
      <alignment horizontal="right"/>
    </xf>
    <xf numFmtId="0" fontId="0" fillId="5" borderId="0" xfId="0" applyFill="1" applyAlignment="1">
      <alignment horizontal="left"/>
    </xf>
    <xf numFmtId="0" fontId="15" fillId="0" borderId="0" xfId="5" applyFont="1" applyAlignment="1">
      <alignment horizontal="left"/>
    </xf>
    <xf numFmtId="0" fontId="16" fillId="0" borderId="0" xfId="5" applyFont="1" applyAlignment="1">
      <alignment horizontal="left"/>
    </xf>
    <xf numFmtId="0" fontId="12" fillId="0" borderId="0" xfId="5" applyFont="1" applyAlignment="1">
      <alignment horizontal="center"/>
    </xf>
    <xf numFmtId="0" fontId="13" fillId="0" borderId="0" xfId="5" applyFont="1" applyAlignment="1">
      <alignment horizontal="center"/>
    </xf>
    <xf numFmtId="0" fontId="14" fillId="0" borderId="0" xfId="5" applyFont="1" applyAlignment="1">
      <alignment horizontal="center"/>
    </xf>
    <xf numFmtId="0" fontId="0" fillId="4" borderId="7" xfId="0" applyFill="1" applyBorder="1" applyAlignment="1">
      <alignment horizontal="left"/>
    </xf>
    <xf numFmtId="0" fontId="0" fillId="8" borderId="7" xfId="0" applyFill="1" applyBorder="1" applyAlignment="1">
      <alignment horizontal="left" wrapText="1"/>
    </xf>
    <xf numFmtId="0" fontId="0" fillId="4" borderId="7" xfId="0" applyFill="1" applyBorder="1" applyAlignment="1">
      <alignment horizontal="center"/>
    </xf>
    <xf numFmtId="0" fontId="0" fillId="6" borderId="0" xfId="0" applyFill="1" applyAlignment="1">
      <alignment horizontal="left" wrapText="1"/>
    </xf>
    <xf numFmtId="0" fontId="0" fillId="6" borderId="0" xfId="0" applyFill="1" applyAlignment="1">
      <alignment horizontal="left"/>
    </xf>
    <xf numFmtId="0" fontId="0" fillId="4" borderId="8" xfId="0" applyFill="1" applyBorder="1" applyAlignment="1">
      <alignment horizontal="left"/>
    </xf>
    <xf numFmtId="0" fontId="0" fillId="4" borderId="9" xfId="0" applyFill="1" applyBorder="1" applyAlignment="1">
      <alignment horizontal="left"/>
    </xf>
    <xf numFmtId="0" fontId="0" fillId="4" borderId="10" xfId="0" applyFill="1" applyBorder="1" applyAlignment="1">
      <alignment horizontal="left"/>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1" fillId="2" borderId="1" xfId="2" applyFont="1" applyFill="1" applyBorder="1" applyAlignment="1">
      <alignment horizontal="left" wrapText="1"/>
    </xf>
    <xf numFmtId="0" fontId="1" fillId="2" borderId="2" xfId="2" applyFill="1" applyBorder="1" applyAlignment="1">
      <alignment horizontal="left" wrapText="1"/>
    </xf>
    <xf numFmtId="0" fontId="1" fillId="2" borderId="3" xfId="2" applyFill="1" applyBorder="1" applyAlignment="1">
      <alignment horizontal="left" wrapText="1"/>
    </xf>
    <xf numFmtId="0" fontId="1" fillId="2" borderId="11" xfId="2" applyFont="1" applyFill="1" applyBorder="1" applyAlignment="1">
      <alignment horizontal="left" wrapText="1"/>
    </xf>
    <xf numFmtId="0" fontId="1" fillId="2" borderId="0" xfId="2" applyFill="1" applyBorder="1" applyAlignment="1">
      <alignment horizontal="left" wrapText="1"/>
    </xf>
    <xf numFmtId="0" fontId="1" fillId="2" borderId="12" xfId="2" applyFill="1" applyBorder="1" applyAlignment="1">
      <alignment horizontal="left" wrapText="1"/>
    </xf>
    <xf numFmtId="0" fontId="1" fillId="2" borderId="11" xfId="2" applyFill="1" applyBorder="1" applyAlignment="1">
      <alignment horizontal="left" wrapText="1"/>
    </xf>
    <xf numFmtId="0" fontId="1" fillId="2" borderId="0" xfId="2" applyFill="1" applyAlignment="1">
      <alignment horizontal="left" wrapText="1"/>
    </xf>
    <xf numFmtId="0" fontId="1" fillId="2" borderId="4" xfId="2" applyFont="1" applyFill="1" applyBorder="1" applyAlignment="1">
      <alignment horizontal="left" wrapText="1"/>
    </xf>
    <xf numFmtId="0" fontId="1" fillId="2" borderId="5" xfId="2" applyFill="1" applyBorder="1" applyAlignment="1">
      <alignment horizontal="left" wrapText="1"/>
    </xf>
    <xf numFmtId="0" fontId="1" fillId="2" borderId="6" xfId="2" applyFill="1" applyBorder="1" applyAlignment="1">
      <alignment horizontal="left" wrapText="1"/>
    </xf>
    <xf numFmtId="0" fontId="6" fillId="4" borderId="8" xfId="3" applyFill="1" applyBorder="1" applyAlignment="1">
      <alignment horizontal="left"/>
    </xf>
    <xf numFmtId="0" fontId="6" fillId="4" borderId="9" xfId="3" applyFill="1" applyBorder="1" applyAlignment="1">
      <alignment horizontal="left"/>
    </xf>
    <xf numFmtId="0" fontId="6" fillId="4" borderId="10" xfId="3" applyFill="1" applyBorder="1" applyAlignment="1">
      <alignment horizontal="left"/>
    </xf>
    <xf numFmtId="0" fontId="6" fillId="0" borderId="7" xfId="3" applyFont="1" applyBorder="1" applyAlignment="1">
      <alignment horizontal="left"/>
    </xf>
    <xf numFmtId="0" fontId="1" fillId="2" borderId="1" xfId="2" applyFill="1" applyBorder="1" applyAlignment="1">
      <alignment horizontal="left" wrapText="1"/>
    </xf>
    <xf numFmtId="0" fontId="1" fillId="2" borderId="4" xfId="2" applyFill="1" applyBorder="1" applyAlignment="1">
      <alignment horizontal="left" wrapText="1"/>
    </xf>
    <xf numFmtId="0" fontId="0" fillId="6" borderId="0" xfId="0" applyFill="1" applyAlignment="1">
      <alignment horizontal="left" vertical="center" wrapText="1"/>
    </xf>
    <xf numFmtId="0" fontId="0" fillId="5" borderId="0" xfId="0" applyFill="1" applyAlignment="1">
      <alignment horizontal="center"/>
    </xf>
    <xf numFmtId="0" fontId="18" fillId="5" borderId="0" xfId="6" applyFill="1" applyAlignment="1">
      <alignment horizontal="center"/>
    </xf>
    <xf numFmtId="0" fontId="1" fillId="2" borderId="7" xfId="2" applyFont="1" applyFill="1" applyBorder="1" applyAlignment="1">
      <alignment horizontal="left" wrapText="1"/>
    </xf>
    <xf numFmtId="0" fontId="1" fillId="2" borderId="7" xfId="2" applyFill="1" applyBorder="1" applyAlignment="1">
      <alignment horizontal="left" wrapText="1"/>
    </xf>
    <xf numFmtId="0" fontId="3" fillId="4" borderId="7" xfId="2" applyFont="1" applyFill="1" applyBorder="1" applyAlignment="1">
      <alignment horizontal="left"/>
    </xf>
    <xf numFmtId="0" fontId="1" fillId="4" borderId="7" xfId="2" applyFill="1" applyBorder="1" applyAlignment="1">
      <alignment horizontal="left"/>
    </xf>
    <xf numFmtId="0" fontId="1" fillId="4" borderId="7" xfId="2" applyFill="1" applyBorder="1" applyAlignment="1">
      <alignment horizontal="left" wrapText="1"/>
    </xf>
    <xf numFmtId="0" fontId="3" fillId="0" borderId="8" xfId="2" applyFont="1" applyBorder="1" applyAlignment="1">
      <alignment horizontal="left"/>
    </xf>
    <xf numFmtId="0" fontId="1" fillId="0" borderId="9" xfId="2" applyBorder="1" applyAlignment="1">
      <alignment horizontal="left"/>
    </xf>
    <xf numFmtId="0" fontId="1" fillId="0" borderId="10" xfId="2" applyBorder="1" applyAlignment="1">
      <alignment horizontal="left"/>
    </xf>
    <xf numFmtId="0" fontId="3" fillId="4" borderId="8" xfId="2" applyFont="1" applyFill="1" applyBorder="1" applyAlignment="1">
      <alignment horizontal="right"/>
    </xf>
    <xf numFmtId="0" fontId="3" fillId="4" borderId="10" xfId="2" applyFont="1" applyFill="1" applyBorder="1" applyAlignment="1">
      <alignment horizontal="right"/>
    </xf>
    <xf numFmtId="0" fontId="6" fillId="0" borderId="13" xfId="3" applyBorder="1" applyAlignment="1">
      <alignment horizontal="left"/>
    </xf>
    <xf numFmtId="0" fontId="6" fillId="0" borderId="7" xfId="3" applyBorder="1" applyAlignment="1">
      <alignment horizontal="left"/>
    </xf>
    <xf numFmtId="0" fontId="6" fillId="0" borderId="14" xfId="3" applyBorder="1" applyAlignment="1">
      <alignment horizontal="center" vertical="center"/>
    </xf>
    <xf numFmtId="0" fontId="6" fillId="0" borderId="15" xfId="3" applyBorder="1" applyAlignment="1">
      <alignment horizontal="center" vertical="center"/>
    </xf>
    <xf numFmtId="0" fontId="6" fillId="0" borderId="13" xfId="3" applyBorder="1" applyAlignment="1">
      <alignment horizontal="center" vertical="center"/>
    </xf>
    <xf numFmtId="0" fontId="0" fillId="2" borderId="11" xfId="2" applyFont="1" applyFill="1" applyBorder="1" applyAlignment="1">
      <alignment horizontal="left" wrapText="1"/>
    </xf>
    <xf numFmtId="0" fontId="6" fillId="4" borderId="7" xfId="3" applyFill="1" applyBorder="1" applyAlignment="1">
      <alignment horizontal="left"/>
    </xf>
    <xf numFmtId="0" fontId="6" fillId="0" borderId="8" xfId="3" applyBorder="1" applyAlignment="1">
      <alignment horizontal="left"/>
    </xf>
    <xf numFmtId="0" fontId="6" fillId="0" borderId="9" xfId="3" applyBorder="1" applyAlignment="1">
      <alignment horizontal="left"/>
    </xf>
    <xf numFmtId="0" fontId="6" fillId="0" borderId="10" xfId="3" applyBorder="1" applyAlignment="1">
      <alignment horizontal="left"/>
    </xf>
    <xf numFmtId="0" fontId="0" fillId="0" borderId="7" xfId="2" applyFont="1" applyBorder="1" applyAlignment="1">
      <alignment horizontal="left"/>
    </xf>
    <xf numFmtId="0" fontId="6" fillId="4" borderId="14" xfId="3" applyFill="1" applyBorder="1" applyAlignment="1">
      <alignment horizontal="left"/>
    </xf>
    <xf numFmtId="0" fontId="1" fillId="4" borderId="8" xfId="2" applyFill="1" applyBorder="1" applyAlignment="1">
      <alignment horizontal="center"/>
    </xf>
    <xf numFmtId="0" fontId="1" fillId="4" borderId="9" xfId="2" applyFill="1" applyBorder="1" applyAlignment="1">
      <alignment horizontal="center"/>
    </xf>
    <xf numFmtId="0" fontId="1" fillId="4" borderId="10" xfId="2" applyFill="1" applyBorder="1" applyAlignment="1">
      <alignment horizontal="center"/>
    </xf>
    <xf numFmtId="0" fontId="1" fillId="3" borderId="7" xfId="2" applyFill="1" applyBorder="1" applyAlignment="1">
      <alignment horizontal="left"/>
    </xf>
  </cellXfs>
  <cellStyles count="7">
    <cellStyle name="Hyperlink" xfId="6" builtinId="8"/>
    <cellStyle name="Normal" xfId="0" builtinId="0"/>
    <cellStyle name="Normal 2" xfId="3"/>
    <cellStyle name="Normal 2 2" xfId="2"/>
    <cellStyle name="Normal 3" xfId="5"/>
    <cellStyle name="Per cent 2" xfId="4"/>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microsoft.com/office/2007/relationships/hdphoto" Target="NUL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393700</xdr:colOff>
      <xdr:row>10</xdr:row>
      <xdr:rowOff>44450</xdr:rowOff>
    </xdr:from>
    <xdr:to>
      <xdr:col>4</xdr:col>
      <xdr:colOff>571642</xdr:colOff>
      <xdr:row>11</xdr:row>
      <xdr:rowOff>152400</xdr:rowOff>
    </xdr:to>
    <xdr:pic>
      <xdr:nvPicPr>
        <xdr:cNvPr id="2" name="Picture 1">
          <a:extLst>
            <a:ext uri="{FF2B5EF4-FFF2-40B4-BE49-F238E27FC236}">
              <a16:creationId xmlns="" xmlns:a16="http://schemas.microsoft.com/office/drawing/2014/main" id="{99375E6D-FE42-B381-1EB6-D77DE3E825F0}"/>
            </a:ext>
          </a:extLst>
        </xdr:cNvPr>
        <xdr:cNvPicPr>
          <a:picLocks noChangeAspect="1"/>
        </xdr:cNvPicPr>
      </xdr:nvPicPr>
      <xdr:blipFill>
        <a:blip xmlns:r="http://schemas.openxmlformats.org/officeDocument/2006/relationships" r:embed="rId1" cstate="email">
          <a:alphaModFix/>
          <a:extLst>
            <a:ext uri="{BEBA8EAE-BF5A-486C-A8C5-ECC9F3942E4B}">
              <a14:imgProps xmlns="" xmlns:a14="http://schemas.microsoft.com/office/drawing/2010/main">
                <a14:imgLayer r:embed="rId2">
                  <a14:imgEffect>
                    <a14:saturation sat="300000"/>
                  </a14:imgEffect>
                </a14:imgLayer>
              </a14:imgProps>
            </a:ext>
            <a:ext uri="{28A0092B-C50C-407E-A947-70E740481C1C}">
              <a14:useLocalDpi xmlns="" xmlns:a14="http://schemas.microsoft.com/office/drawing/2010/main" val="0"/>
            </a:ext>
          </a:extLst>
        </a:blip>
        <a:stretch>
          <a:fillRect/>
        </a:stretch>
      </xdr:blipFill>
      <xdr:spPr>
        <a:xfrm>
          <a:off x="1054100" y="2012950"/>
          <a:ext cx="2756042" cy="304800"/>
        </a:xfrm>
        <a:prstGeom prst="rect">
          <a:avLst/>
        </a:prstGeom>
        <a:effectLst>
          <a:glow>
            <a:schemeClr val="accent1">
              <a:alpha val="0"/>
            </a:schemeClr>
          </a:glo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R14"/>
  <sheetViews>
    <sheetView tabSelected="1" workbookViewId="0">
      <selection sqref="A1:N1"/>
    </sheetView>
  </sheetViews>
  <sheetFormatPr defaultRowHeight="14.4"/>
  <sheetData>
    <row r="1" spans="1:18" ht="36.6">
      <c r="A1" s="62"/>
      <c r="B1" s="62"/>
      <c r="C1" s="62"/>
      <c r="D1" s="62"/>
      <c r="E1" s="62"/>
      <c r="F1" s="62"/>
      <c r="G1" s="62"/>
      <c r="H1" s="62"/>
      <c r="I1" s="62"/>
      <c r="J1" s="62"/>
      <c r="K1" s="62"/>
      <c r="L1" s="62"/>
      <c r="M1" s="62"/>
      <c r="N1" s="62"/>
      <c r="O1" s="45"/>
      <c r="P1" s="45"/>
      <c r="Q1" s="45"/>
      <c r="R1" s="45"/>
    </row>
    <row r="2" spans="1:18" ht="33.6">
      <c r="A2" s="63"/>
      <c r="B2" s="63"/>
      <c r="C2" s="63"/>
      <c r="D2" s="63"/>
      <c r="E2" s="63"/>
      <c r="F2" s="63"/>
      <c r="G2" s="63"/>
      <c r="H2" s="63"/>
      <c r="I2" s="63"/>
      <c r="J2" s="63"/>
      <c r="K2" s="63"/>
      <c r="L2" s="63"/>
      <c r="M2" s="63"/>
      <c r="N2" s="63"/>
      <c r="O2" s="45"/>
      <c r="P2" s="45"/>
      <c r="Q2" s="45"/>
      <c r="R2" s="45"/>
    </row>
    <row r="3" spans="1:18">
      <c r="A3" s="45"/>
      <c r="B3" s="45"/>
      <c r="C3" s="45"/>
      <c r="D3" s="45"/>
      <c r="E3" s="45"/>
      <c r="F3" s="45"/>
      <c r="G3" s="45"/>
      <c r="H3" s="45"/>
      <c r="I3" s="45"/>
      <c r="J3" s="45"/>
      <c r="K3" s="45"/>
      <c r="L3" s="45"/>
      <c r="M3" s="45"/>
      <c r="N3" s="45"/>
      <c r="O3" s="45"/>
      <c r="P3" s="45"/>
      <c r="Q3" s="45"/>
      <c r="R3" s="45"/>
    </row>
    <row r="4" spans="1:18" ht="36.6">
      <c r="A4" s="64"/>
      <c r="B4" s="64"/>
      <c r="C4" s="64"/>
      <c r="D4" s="64"/>
      <c r="E4" s="64"/>
      <c r="F4" s="64"/>
      <c r="G4" s="64"/>
      <c r="H4" s="64"/>
      <c r="I4" s="64"/>
      <c r="J4" s="64"/>
      <c r="K4" s="64"/>
      <c r="L4" s="64"/>
      <c r="M4" s="64"/>
      <c r="N4" s="64"/>
      <c r="O4" s="45"/>
      <c r="P4" s="45"/>
      <c r="Q4" s="45"/>
      <c r="R4" s="45"/>
    </row>
    <row r="5" spans="1:18">
      <c r="A5" s="45"/>
      <c r="B5" s="45"/>
      <c r="C5" s="45"/>
      <c r="D5" s="45"/>
      <c r="E5" s="45"/>
      <c r="F5" s="45"/>
      <c r="G5" s="45"/>
      <c r="H5" s="45"/>
      <c r="I5" s="45"/>
      <c r="J5" s="45"/>
      <c r="K5" s="45"/>
      <c r="L5" s="45"/>
      <c r="M5" s="45"/>
      <c r="N5" s="45"/>
      <c r="O5" s="45"/>
      <c r="P5" s="45"/>
      <c r="Q5" s="45"/>
      <c r="R5" s="45"/>
    </row>
    <row r="6" spans="1:18">
      <c r="A6" s="45"/>
      <c r="B6" s="45"/>
      <c r="C6" s="45"/>
      <c r="D6" s="45"/>
      <c r="E6" s="45"/>
      <c r="F6" s="45"/>
      <c r="G6" s="45"/>
      <c r="H6" s="45"/>
      <c r="I6" s="45"/>
      <c r="J6" s="45"/>
      <c r="K6" s="45"/>
      <c r="L6" s="45"/>
      <c r="M6" s="45"/>
      <c r="N6" s="45"/>
      <c r="O6" s="45"/>
      <c r="P6" s="45"/>
      <c r="Q6" s="45"/>
      <c r="R6" s="45"/>
    </row>
    <row r="7" spans="1:18">
      <c r="A7" s="45"/>
      <c r="B7" s="45"/>
      <c r="C7" s="45"/>
      <c r="D7" s="45"/>
      <c r="E7" s="45"/>
      <c r="F7" s="45"/>
      <c r="G7" s="45"/>
      <c r="H7" s="45"/>
      <c r="I7" s="45"/>
      <c r="J7" s="45"/>
      <c r="K7" s="45"/>
      <c r="L7" s="45"/>
      <c r="M7" s="45"/>
      <c r="N7" s="45"/>
      <c r="O7" s="45"/>
      <c r="P7" s="45"/>
      <c r="Q7" s="45"/>
      <c r="R7" s="45"/>
    </row>
    <row r="8" spans="1:18">
      <c r="A8" s="45"/>
      <c r="B8" s="45"/>
      <c r="C8" s="45"/>
      <c r="D8" s="45"/>
      <c r="E8" s="45"/>
      <c r="F8" s="45"/>
      <c r="G8" s="45"/>
      <c r="H8" s="45"/>
      <c r="I8" s="45"/>
      <c r="J8" s="45"/>
      <c r="K8" s="45"/>
      <c r="L8" s="45"/>
      <c r="M8" s="45"/>
      <c r="N8" s="45"/>
      <c r="O8" s="45"/>
      <c r="P8" s="45"/>
      <c r="Q8" s="45"/>
      <c r="R8" s="45"/>
    </row>
    <row r="9" spans="1:18">
      <c r="A9" s="45"/>
      <c r="B9" s="45"/>
      <c r="C9" s="45"/>
      <c r="D9" s="45"/>
      <c r="E9" s="45"/>
      <c r="F9" s="45"/>
      <c r="G9" s="45"/>
      <c r="H9" s="45"/>
      <c r="I9" s="45"/>
      <c r="J9" s="45"/>
      <c r="K9" s="45"/>
      <c r="L9" s="45"/>
      <c r="M9" s="45"/>
      <c r="N9" s="45"/>
      <c r="O9" s="45"/>
      <c r="P9" s="45"/>
      <c r="Q9" s="45"/>
      <c r="R9" s="45"/>
    </row>
    <row r="10" spans="1:18" ht="23.4">
      <c r="A10" s="45"/>
      <c r="B10" s="45"/>
      <c r="C10" s="45"/>
      <c r="D10" s="45"/>
      <c r="E10" s="45"/>
      <c r="F10" s="45"/>
      <c r="G10" s="45"/>
      <c r="H10" s="45"/>
      <c r="I10" s="45"/>
      <c r="J10" s="45"/>
      <c r="K10" s="45"/>
      <c r="L10" s="45"/>
      <c r="M10" s="45"/>
      <c r="N10" s="60"/>
      <c r="O10" s="60"/>
      <c r="P10" s="61"/>
      <c r="Q10" s="61"/>
      <c r="R10" s="45"/>
    </row>
    <row r="11" spans="1:18" ht="23.4">
      <c r="A11" s="45"/>
      <c r="B11" s="45"/>
      <c r="C11" s="45"/>
      <c r="D11" s="45"/>
      <c r="E11" s="45"/>
      <c r="F11" s="45"/>
      <c r="G11" s="45"/>
      <c r="H11" s="45"/>
      <c r="I11" s="45"/>
      <c r="J11" s="45"/>
      <c r="K11" s="45"/>
      <c r="L11" s="45"/>
      <c r="M11" s="45"/>
      <c r="N11" s="60"/>
      <c r="O11" s="60"/>
      <c r="P11" s="61"/>
      <c r="Q11" s="61"/>
      <c r="R11" s="45"/>
    </row>
    <row r="12" spans="1:18">
      <c r="A12" s="45"/>
      <c r="B12" s="45"/>
      <c r="C12" s="45"/>
      <c r="D12" s="45"/>
      <c r="E12" s="45"/>
      <c r="F12" s="45"/>
      <c r="G12" s="45"/>
      <c r="H12" s="45"/>
      <c r="I12" s="45"/>
      <c r="J12" s="45"/>
      <c r="K12" s="45"/>
      <c r="L12" s="45"/>
      <c r="M12" s="45"/>
      <c r="N12" s="45"/>
      <c r="O12" s="45"/>
      <c r="P12" s="45"/>
      <c r="Q12" s="45"/>
      <c r="R12" s="45"/>
    </row>
    <row r="13" spans="1:18">
      <c r="A13" s="45"/>
      <c r="B13" s="45"/>
      <c r="C13" s="45"/>
      <c r="D13" s="45"/>
      <c r="E13" s="45"/>
      <c r="F13" s="45"/>
      <c r="G13" s="45"/>
      <c r="H13" s="45"/>
      <c r="I13" s="45"/>
      <c r="J13" s="45"/>
      <c r="K13" s="45"/>
      <c r="L13" s="45"/>
      <c r="M13" s="45"/>
      <c r="N13" s="45"/>
      <c r="O13" s="45"/>
      <c r="P13" s="45"/>
      <c r="Q13" s="45"/>
      <c r="R13" s="45"/>
    </row>
    <row r="14" spans="1:18">
      <c r="A14" s="45"/>
      <c r="B14" s="45"/>
      <c r="C14" s="45"/>
      <c r="D14" s="45"/>
      <c r="E14" s="45"/>
      <c r="F14" s="45"/>
      <c r="G14" s="45"/>
      <c r="H14" s="45"/>
      <c r="I14" s="45"/>
      <c r="J14" s="45"/>
      <c r="K14" s="45"/>
      <c r="L14" s="45"/>
      <c r="M14" s="45"/>
      <c r="N14" s="45"/>
      <c r="O14" s="45"/>
      <c r="P14" s="45"/>
      <c r="Q14" s="45"/>
      <c r="R14" s="45"/>
    </row>
  </sheetData>
  <mergeCells count="7">
    <mergeCell ref="N11:O11"/>
    <mergeCell ref="P11:Q11"/>
    <mergeCell ref="A1:N1"/>
    <mergeCell ref="A2:N2"/>
    <mergeCell ref="A4:N4"/>
    <mergeCell ref="N10:O10"/>
    <mergeCell ref="P10:Q1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28"/>
  <sheetViews>
    <sheetView workbookViewId="0">
      <selection activeCell="F16" sqref="F16"/>
    </sheetView>
  </sheetViews>
  <sheetFormatPr defaultRowHeight="14.4"/>
  <sheetData>
    <row r="1" spans="1:18">
      <c r="A1" s="46"/>
      <c r="B1" s="46"/>
      <c r="C1" s="46"/>
      <c r="D1" s="46"/>
      <c r="E1" s="46"/>
      <c r="F1" s="46"/>
      <c r="G1" s="46"/>
      <c r="H1" s="46"/>
      <c r="I1" s="46"/>
      <c r="J1" s="46"/>
      <c r="K1" s="46"/>
      <c r="L1" s="46"/>
      <c r="M1" s="46"/>
      <c r="N1" s="46"/>
      <c r="O1" s="46"/>
      <c r="P1" s="46"/>
      <c r="Q1" s="46"/>
      <c r="R1" s="46"/>
    </row>
    <row r="2" spans="1:18">
      <c r="A2" s="46"/>
      <c r="B2" s="46"/>
      <c r="C2" s="46"/>
      <c r="D2" s="46"/>
      <c r="E2" s="46"/>
      <c r="F2" s="46"/>
      <c r="G2" s="46"/>
      <c r="H2" s="46"/>
      <c r="I2" s="46"/>
      <c r="J2" s="46"/>
      <c r="K2" s="46"/>
      <c r="L2" s="46"/>
      <c r="M2" s="46"/>
      <c r="N2" s="46"/>
      <c r="O2" s="46"/>
      <c r="P2" s="46"/>
      <c r="Q2" s="46"/>
      <c r="R2" s="46"/>
    </row>
    <row r="3" spans="1:18">
      <c r="A3" s="46"/>
      <c r="B3" s="68" t="s">
        <v>120</v>
      </c>
      <c r="C3" s="69"/>
      <c r="D3" s="69"/>
      <c r="E3" s="69"/>
      <c r="F3" s="69"/>
      <c r="G3" s="69"/>
      <c r="H3" s="69"/>
      <c r="I3" s="69"/>
      <c r="J3" s="69"/>
      <c r="K3" s="69"/>
      <c r="L3" s="69"/>
      <c r="M3" s="69"/>
      <c r="N3" s="69"/>
      <c r="O3" s="69"/>
      <c r="P3" s="69"/>
      <c r="Q3" s="69"/>
      <c r="R3" s="46"/>
    </row>
    <row r="4" spans="1:18">
      <c r="A4" s="46"/>
      <c r="B4" s="69"/>
      <c r="C4" s="69"/>
      <c r="D4" s="69"/>
      <c r="E4" s="69"/>
      <c r="F4" s="69"/>
      <c r="G4" s="69"/>
      <c r="H4" s="69"/>
      <c r="I4" s="69"/>
      <c r="J4" s="69"/>
      <c r="K4" s="69"/>
      <c r="L4" s="69"/>
      <c r="M4" s="69"/>
      <c r="N4" s="69"/>
      <c r="O4" s="69"/>
      <c r="P4" s="69"/>
      <c r="Q4" s="69"/>
      <c r="R4" s="46"/>
    </row>
    <row r="5" spans="1:18">
      <c r="A5" s="46"/>
      <c r="B5" s="69"/>
      <c r="C5" s="69"/>
      <c r="D5" s="69"/>
      <c r="E5" s="69"/>
      <c r="F5" s="69"/>
      <c r="G5" s="69"/>
      <c r="H5" s="69"/>
      <c r="I5" s="69"/>
      <c r="J5" s="69"/>
      <c r="K5" s="69"/>
      <c r="L5" s="69"/>
      <c r="M5" s="69"/>
      <c r="N5" s="69"/>
      <c r="O5" s="69"/>
      <c r="P5" s="69"/>
      <c r="Q5" s="69"/>
      <c r="R5" s="46"/>
    </row>
    <row r="6" spans="1:18">
      <c r="A6" s="46"/>
      <c r="B6" s="69"/>
      <c r="C6" s="69"/>
      <c r="D6" s="69"/>
      <c r="E6" s="69"/>
      <c r="F6" s="69"/>
      <c r="G6" s="69"/>
      <c r="H6" s="69"/>
      <c r="I6" s="69"/>
      <c r="J6" s="69"/>
      <c r="K6" s="69"/>
      <c r="L6" s="69"/>
      <c r="M6" s="69"/>
      <c r="N6" s="69"/>
      <c r="O6" s="69"/>
      <c r="P6" s="69"/>
      <c r="Q6" s="69"/>
      <c r="R6" s="46"/>
    </row>
    <row r="7" spans="1:18">
      <c r="A7" s="46"/>
      <c r="B7" s="69" t="s">
        <v>121</v>
      </c>
      <c r="C7" s="69"/>
      <c r="D7" s="69"/>
      <c r="E7" s="69"/>
      <c r="F7" s="69"/>
      <c r="G7" s="69"/>
      <c r="H7" s="69"/>
      <c r="I7" s="69"/>
      <c r="J7" s="69"/>
      <c r="K7" s="69"/>
      <c r="L7" s="69"/>
      <c r="M7" s="69"/>
      <c r="N7" s="69"/>
      <c r="O7" s="69"/>
      <c r="P7" s="69"/>
      <c r="Q7" s="69"/>
      <c r="R7" s="46"/>
    </row>
    <row r="8" spans="1:18">
      <c r="A8" s="46"/>
      <c r="B8" s="46"/>
      <c r="C8" s="46"/>
      <c r="D8" s="46"/>
      <c r="E8" s="46"/>
      <c r="F8" s="46"/>
      <c r="G8" s="46"/>
      <c r="H8" s="46"/>
      <c r="I8" s="46"/>
      <c r="J8" s="46"/>
      <c r="K8" s="46"/>
      <c r="L8" s="46"/>
      <c r="M8" s="46"/>
      <c r="N8" s="46"/>
      <c r="O8" s="46"/>
      <c r="P8" s="46"/>
      <c r="Q8" s="46"/>
      <c r="R8" s="46"/>
    </row>
    <row r="9" spans="1:18">
      <c r="A9" s="46"/>
      <c r="B9" s="46"/>
      <c r="C9" s="46"/>
      <c r="D9" s="46"/>
      <c r="E9" s="46"/>
      <c r="F9" s="46"/>
      <c r="G9" s="46"/>
      <c r="H9" s="46"/>
      <c r="I9" s="46"/>
      <c r="J9" s="46"/>
      <c r="K9" s="46"/>
      <c r="L9" s="46"/>
      <c r="M9" s="46"/>
      <c r="N9" s="46"/>
      <c r="O9" s="46"/>
      <c r="P9" s="46"/>
      <c r="Q9" s="46"/>
      <c r="R9" s="46"/>
    </row>
    <row r="10" spans="1:18">
      <c r="A10" s="46"/>
      <c r="B10" s="70" t="s">
        <v>122</v>
      </c>
      <c r="C10" s="71"/>
      <c r="D10" s="71"/>
      <c r="E10" s="72"/>
      <c r="F10" s="46"/>
      <c r="G10" s="46"/>
      <c r="H10" s="46"/>
      <c r="I10" s="46"/>
      <c r="J10" s="46"/>
      <c r="K10" s="46"/>
      <c r="L10" s="46"/>
      <c r="M10" s="46"/>
      <c r="N10" s="46"/>
      <c r="O10" s="46"/>
      <c r="P10" s="46"/>
      <c r="Q10" s="46"/>
      <c r="R10" s="46"/>
    </row>
    <row r="11" spans="1:18">
      <c r="A11" s="46"/>
      <c r="B11" s="47" t="s">
        <v>123</v>
      </c>
      <c r="C11" s="48">
        <f>96/(24*60)</f>
        <v>6.6666666666666666E-2</v>
      </c>
      <c r="D11" s="48" t="s">
        <v>124</v>
      </c>
      <c r="E11" s="48"/>
      <c r="F11" s="46"/>
      <c r="G11" s="46"/>
      <c r="H11" s="46"/>
      <c r="I11" s="46"/>
      <c r="J11" s="46"/>
      <c r="K11" s="46"/>
      <c r="L11" s="46"/>
      <c r="M11" s="46"/>
      <c r="N11" s="46"/>
      <c r="O11" s="46"/>
      <c r="P11" s="46"/>
      <c r="Q11" s="46"/>
      <c r="R11" s="46"/>
    </row>
    <row r="12" spans="1:18">
      <c r="A12" s="46"/>
      <c r="B12" s="47" t="s">
        <v>125</v>
      </c>
      <c r="C12" s="48">
        <f>1/10</f>
        <v>0.1</v>
      </c>
      <c r="D12" s="48" t="s">
        <v>124</v>
      </c>
      <c r="E12" s="48"/>
      <c r="F12" s="46"/>
      <c r="G12" s="46"/>
      <c r="H12" s="46"/>
      <c r="I12" s="46"/>
      <c r="J12" s="46"/>
      <c r="K12" s="46"/>
      <c r="L12" s="46"/>
      <c r="M12" s="46"/>
      <c r="N12" s="46"/>
      <c r="O12" s="46"/>
      <c r="P12" s="46"/>
      <c r="Q12" s="46"/>
      <c r="R12" s="46"/>
    </row>
    <row r="13" spans="1:18">
      <c r="A13" s="46"/>
      <c r="B13" s="47" t="s">
        <v>4</v>
      </c>
      <c r="C13" s="48">
        <f>C11/C12</f>
        <v>0.66666666666666663</v>
      </c>
      <c r="D13" s="48"/>
      <c r="E13" s="48"/>
      <c r="F13" s="46"/>
      <c r="G13" s="46"/>
      <c r="H13" s="46"/>
      <c r="I13" s="46"/>
      <c r="J13" s="46"/>
      <c r="K13" s="46"/>
      <c r="L13" s="46"/>
      <c r="M13" s="46"/>
      <c r="N13" s="46"/>
      <c r="O13" s="46"/>
      <c r="P13" s="46"/>
      <c r="Q13" s="46"/>
      <c r="R13" s="46"/>
    </row>
    <row r="14" spans="1:18">
      <c r="A14" s="46"/>
      <c r="B14" s="46"/>
      <c r="C14" s="46"/>
      <c r="D14" s="46"/>
      <c r="E14" s="46"/>
      <c r="F14" s="46"/>
      <c r="G14" s="46"/>
      <c r="H14" s="46"/>
      <c r="I14" s="46"/>
      <c r="J14" s="46"/>
      <c r="K14" s="46"/>
      <c r="L14" s="46"/>
      <c r="M14" s="46"/>
      <c r="N14" s="46"/>
      <c r="O14" s="46"/>
      <c r="P14" s="46"/>
      <c r="Q14" s="46"/>
      <c r="R14" s="46"/>
    </row>
    <row r="15" spans="1:18">
      <c r="A15" s="46"/>
      <c r="B15" s="73" t="s">
        <v>126</v>
      </c>
      <c r="C15" s="74"/>
      <c r="D15" s="74"/>
      <c r="E15" s="75"/>
      <c r="F15" s="46"/>
      <c r="G15" s="49"/>
      <c r="H15" s="46"/>
      <c r="I15" s="46"/>
      <c r="J15" s="46"/>
      <c r="K15" s="46"/>
      <c r="L15" s="50"/>
      <c r="M15" s="46"/>
      <c r="N15" s="46"/>
      <c r="O15" s="46"/>
      <c r="P15" s="46"/>
      <c r="Q15" s="46"/>
      <c r="R15" s="46"/>
    </row>
    <row r="16" spans="1:18">
      <c r="A16" s="51">
        <v>1</v>
      </c>
      <c r="B16" s="47" t="s">
        <v>127</v>
      </c>
      <c r="C16" s="48">
        <f>(C13)^2/(1-C13)</f>
        <v>1.333333333333333</v>
      </c>
      <c r="D16" s="48"/>
      <c r="E16" s="48"/>
      <c r="F16" s="46"/>
      <c r="G16" s="46"/>
      <c r="H16" s="46"/>
      <c r="I16" s="49"/>
      <c r="J16" s="46"/>
      <c r="K16" s="46"/>
      <c r="L16" s="46"/>
      <c r="M16" s="46"/>
      <c r="N16" s="46"/>
      <c r="O16" s="46"/>
      <c r="P16" s="46"/>
      <c r="Q16" s="46"/>
      <c r="R16" s="46"/>
    </row>
    <row r="17" spans="1:18">
      <c r="A17" s="51">
        <v>2</v>
      </c>
      <c r="B17" s="73" t="s">
        <v>128</v>
      </c>
      <c r="C17" s="74"/>
      <c r="D17" s="74"/>
      <c r="E17" s="75"/>
      <c r="F17" s="46"/>
      <c r="G17" s="46"/>
      <c r="H17" s="46"/>
      <c r="I17" s="46"/>
      <c r="J17" s="46"/>
      <c r="K17" s="46"/>
      <c r="L17" s="46"/>
      <c r="M17" s="46"/>
      <c r="N17" s="46"/>
      <c r="O17" s="46"/>
      <c r="P17" s="46"/>
      <c r="Q17" s="46"/>
      <c r="R17" s="46"/>
    </row>
    <row r="18" spans="1:18" ht="15.6">
      <c r="A18" s="51"/>
      <c r="B18" s="52" t="s">
        <v>129</v>
      </c>
      <c r="C18" s="53">
        <f>1-C13</f>
        <v>0.33333333333333337</v>
      </c>
      <c r="D18" s="53"/>
      <c r="E18" s="53"/>
      <c r="F18" s="46"/>
      <c r="G18" s="46"/>
      <c r="H18" s="46"/>
      <c r="I18" s="46"/>
      <c r="J18" s="46"/>
      <c r="K18" s="46"/>
      <c r="L18" s="46"/>
      <c r="M18" s="46"/>
      <c r="N18" s="46"/>
      <c r="O18" s="46"/>
      <c r="P18" s="46"/>
      <c r="Q18" s="46"/>
      <c r="R18" s="46"/>
    </row>
    <row r="19" spans="1:18">
      <c r="A19" s="51">
        <v>3</v>
      </c>
      <c r="B19" s="73" t="s">
        <v>130</v>
      </c>
      <c r="C19" s="74"/>
      <c r="D19" s="74"/>
      <c r="E19" s="74"/>
      <c r="F19" s="74"/>
      <c r="G19" s="74"/>
      <c r="H19" s="74"/>
      <c r="I19" s="74"/>
      <c r="J19" s="75"/>
      <c r="K19" s="46"/>
      <c r="L19" s="46"/>
      <c r="M19" s="46"/>
      <c r="N19" s="46"/>
      <c r="O19" s="46"/>
      <c r="P19" s="46"/>
      <c r="Q19" s="46"/>
      <c r="R19" s="46"/>
    </row>
    <row r="20" spans="1:18">
      <c r="A20" s="46"/>
      <c r="B20" s="54" t="s">
        <v>131</v>
      </c>
      <c r="C20" s="46"/>
      <c r="D20" s="46"/>
      <c r="E20" s="46"/>
      <c r="F20" s="46"/>
      <c r="G20" s="46"/>
      <c r="H20" s="46"/>
      <c r="I20" s="46"/>
      <c r="J20" s="46"/>
      <c r="K20" s="46"/>
      <c r="L20" s="46"/>
      <c r="M20" s="46"/>
      <c r="N20" s="46"/>
      <c r="O20" s="46"/>
      <c r="P20" s="46"/>
      <c r="Q20" s="46"/>
      <c r="R20" s="46"/>
    </row>
    <row r="21" spans="1:18">
      <c r="A21" s="46"/>
      <c r="B21" s="47" t="s">
        <v>132</v>
      </c>
      <c r="C21" s="48">
        <f>1/2</f>
        <v>0.5</v>
      </c>
      <c r="D21" s="46"/>
      <c r="E21" s="46"/>
      <c r="F21" s="46"/>
      <c r="G21" s="46"/>
      <c r="H21" s="46"/>
      <c r="I21" s="46"/>
      <c r="J21" s="46"/>
      <c r="K21" s="46"/>
      <c r="L21" s="46"/>
      <c r="M21" s="46"/>
      <c r="N21" s="46"/>
      <c r="O21" s="46"/>
      <c r="P21" s="46"/>
      <c r="Q21" s="46"/>
      <c r="R21" s="46"/>
    </row>
    <row r="22" spans="1:18">
      <c r="A22" s="46"/>
      <c r="B22" s="47" t="s">
        <v>1</v>
      </c>
      <c r="C22" s="48">
        <f>2/15</f>
        <v>0.13333333333333333</v>
      </c>
      <c r="D22" s="48" t="s">
        <v>133</v>
      </c>
      <c r="E22" s="48">
        <f>1/C22</f>
        <v>7.5</v>
      </c>
      <c r="F22" s="46"/>
      <c r="G22" s="46"/>
      <c r="H22" s="46"/>
      <c r="I22" s="46"/>
      <c r="J22" s="46"/>
      <c r="K22" s="46"/>
      <c r="L22" s="46"/>
      <c r="M22" s="46"/>
      <c r="N22" s="46"/>
      <c r="O22" s="46"/>
      <c r="P22" s="46"/>
      <c r="Q22" s="46"/>
      <c r="R22" s="46"/>
    </row>
    <row r="23" spans="1:18">
      <c r="A23" s="46"/>
      <c r="B23" s="46"/>
      <c r="C23" s="46"/>
      <c r="D23" s="46"/>
      <c r="E23" s="46"/>
      <c r="F23" s="46"/>
      <c r="G23" s="46"/>
      <c r="H23" s="46"/>
      <c r="I23" s="46"/>
      <c r="J23" s="46"/>
      <c r="K23" s="46"/>
      <c r="L23" s="46"/>
      <c r="M23" s="46"/>
      <c r="N23" s="46"/>
      <c r="O23" s="46"/>
      <c r="P23" s="46"/>
      <c r="Q23" s="46"/>
      <c r="R23" s="46"/>
    </row>
    <row r="24" spans="1:18">
      <c r="A24" s="46"/>
      <c r="B24" s="65" t="s">
        <v>134</v>
      </c>
      <c r="C24" s="65"/>
      <c r="D24" s="65"/>
      <c r="E24" s="65"/>
      <c r="F24" s="65"/>
      <c r="G24" s="48">
        <f>1/C22</f>
        <v>7.5</v>
      </c>
      <c r="H24" s="66" t="s">
        <v>135</v>
      </c>
      <c r="I24" s="66"/>
      <c r="J24" s="66"/>
      <c r="K24" s="66"/>
      <c r="L24" s="66"/>
      <c r="M24" s="46"/>
      <c r="N24" s="46"/>
      <c r="O24" s="46"/>
      <c r="P24" s="46"/>
      <c r="Q24" s="46"/>
      <c r="R24" s="46"/>
    </row>
    <row r="25" spans="1:18">
      <c r="A25" s="46"/>
      <c r="B25" s="46"/>
      <c r="C25" s="46"/>
      <c r="D25" s="46"/>
      <c r="E25" s="46"/>
      <c r="F25" s="46"/>
      <c r="G25" s="46"/>
      <c r="H25" s="66"/>
      <c r="I25" s="66"/>
      <c r="J25" s="66"/>
      <c r="K25" s="66"/>
      <c r="L25" s="66"/>
      <c r="M25" s="46"/>
      <c r="N25" s="46"/>
      <c r="O25" s="46"/>
      <c r="P25" s="46"/>
      <c r="Q25" s="46"/>
      <c r="R25" s="46"/>
    </row>
    <row r="26" spans="1:18">
      <c r="A26" s="46"/>
      <c r="B26" s="67" t="s">
        <v>136</v>
      </c>
      <c r="C26" s="67"/>
      <c r="D26" s="48">
        <f>100+2.5*10</f>
        <v>125</v>
      </c>
      <c r="E26" s="55" t="s">
        <v>137</v>
      </c>
      <c r="F26" s="55"/>
      <c r="G26" s="46"/>
      <c r="H26" s="46"/>
      <c r="I26" s="46"/>
      <c r="J26" s="46"/>
      <c r="K26" s="46"/>
      <c r="L26" s="46"/>
      <c r="M26" s="46"/>
      <c r="N26" s="46"/>
      <c r="O26" s="46"/>
      <c r="P26" s="46"/>
      <c r="Q26" s="46"/>
      <c r="R26" s="46"/>
    </row>
    <row r="27" spans="1:18">
      <c r="A27" s="46"/>
      <c r="B27" s="46"/>
      <c r="C27" s="46"/>
      <c r="D27" s="46"/>
      <c r="E27" s="46"/>
      <c r="F27" s="46"/>
      <c r="G27" s="46"/>
      <c r="H27" s="46"/>
      <c r="I27" s="46"/>
      <c r="J27" s="46"/>
      <c r="K27" s="46"/>
      <c r="L27" s="46"/>
      <c r="M27" s="46"/>
      <c r="N27" s="46"/>
      <c r="O27" s="46"/>
      <c r="P27" s="46"/>
      <c r="Q27" s="46"/>
      <c r="R27" s="46"/>
    </row>
    <row r="28" spans="1:18">
      <c r="A28" s="46"/>
      <c r="B28" s="46"/>
      <c r="C28" s="46"/>
      <c r="D28" s="46"/>
      <c r="E28" s="46"/>
      <c r="F28" s="46"/>
      <c r="G28" s="46"/>
      <c r="H28" s="46"/>
      <c r="I28" s="46"/>
      <c r="J28" s="46"/>
      <c r="K28" s="46"/>
      <c r="L28" s="46"/>
      <c r="M28" s="46"/>
      <c r="N28" s="46"/>
      <c r="O28" s="46"/>
      <c r="P28" s="46"/>
      <c r="Q28" s="46"/>
      <c r="R28" s="46"/>
    </row>
  </sheetData>
  <mergeCells count="9">
    <mergeCell ref="B24:F24"/>
    <mergeCell ref="H24:L25"/>
    <mergeCell ref="B26:C26"/>
    <mergeCell ref="B3:Q6"/>
    <mergeCell ref="B7:Q7"/>
    <mergeCell ref="B10:E10"/>
    <mergeCell ref="B15:E15"/>
    <mergeCell ref="B17:E17"/>
    <mergeCell ref="B19:J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26"/>
  <sheetViews>
    <sheetView topLeftCell="A4" workbookViewId="0">
      <selection activeCell="H19" sqref="H19"/>
    </sheetView>
  </sheetViews>
  <sheetFormatPr defaultRowHeight="14.4"/>
  <sheetData>
    <row r="1" spans="1:16">
      <c r="A1" t="s">
        <v>54</v>
      </c>
    </row>
    <row r="2" spans="1:16">
      <c r="A2" s="18"/>
      <c r="B2" s="19"/>
      <c r="C2" s="18"/>
      <c r="D2" s="18"/>
      <c r="E2" s="18"/>
      <c r="F2" s="18"/>
      <c r="G2" s="18"/>
      <c r="H2" s="18"/>
      <c r="I2" s="18"/>
      <c r="J2" s="18"/>
      <c r="K2" s="18"/>
      <c r="L2" s="18"/>
      <c r="M2" s="18"/>
      <c r="N2" s="18"/>
      <c r="O2" s="18"/>
      <c r="P2" s="18"/>
    </row>
    <row r="3" spans="1:16">
      <c r="A3" s="1"/>
      <c r="B3" s="76" t="s">
        <v>39</v>
      </c>
      <c r="C3" s="77"/>
      <c r="D3" s="77"/>
      <c r="E3" s="77"/>
      <c r="F3" s="77"/>
      <c r="G3" s="77"/>
      <c r="H3" s="77"/>
      <c r="I3" s="77"/>
      <c r="J3" s="77"/>
      <c r="K3" s="77"/>
      <c r="L3" s="77"/>
      <c r="M3" s="77"/>
      <c r="N3" s="77"/>
      <c r="O3" s="78"/>
      <c r="P3" s="3"/>
    </row>
    <row r="4" spans="1:16">
      <c r="A4" s="1"/>
      <c r="B4" s="79"/>
      <c r="C4" s="80"/>
      <c r="D4" s="80"/>
      <c r="E4" s="80"/>
      <c r="F4" s="80"/>
      <c r="G4" s="80"/>
      <c r="H4" s="80"/>
      <c r="I4" s="80"/>
      <c r="J4" s="80"/>
      <c r="K4" s="80"/>
      <c r="L4" s="80"/>
      <c r="M4" s="80"/>
      <c r="N4" s="80"/>
      <c r="O4" s="81"/>
      <c r="P4" s="3"/>
    </row>
    <row r="5" spans="1:16">
      <c r="A5" s="1"/>
      <c r="B5" s="82"/>
      <c r="C5" s="83"/>
      <c r="D5" s="83"/>
      <c r="E5" s="83"/>
      <c r="F5" s="83"/>
      <c r="G5" s="83"/>
      <c r="H5" s="83"/>
      <c r="I5" s="83"/>
      <c r="J5" s="83"/>
      <c r="K5" s="83"/>
      <c r="L5" s="83"/>
      <c r="M5" s="83"/>
      <c r="N5" s="83"/>
      <c r="O5" s="81"/>
      <c r="P5" s="3"/>
    </row>
    <row r="6" spans="1:16">
      <c r="A6" s="1"/>
      <c r="B6" s="79" t="s">
        <v>40</v>
      </c>
      <c r="C6" s="83"/>
      <c r="D6" s="83"/>
      <c r="E6" s="83"/>
      <c r="F6" s="83"/>
      <c r="G6" s="83"/>
      <c r="H6" s="83"/>
      <c r="I6" s="83"/>
      <c r="J6" s="83"/>
      <c r="K6" s="83"/>
      <c r="L6" s="83"/>
      <c r="M6" s="83"/>
      <c r="N6" s="83"/>
      <c r="O6" s="81"/>
      <c r="P6" s="3"/>
    </row>
    <row r="7" spans="1:16">
      <c r="A7" s="1"/>
      <c r="B7" s="84" t="s">
        <v>41</v>
      </c>
      <c r="C7" s="85"/>
      <c r="D7" s="85"/>
      <c r="E7" s="85"/>
      <c r="F7" s="85"/>
      <c r="G7" s="85"/>
      <c r="H7" s="85"/>
      <c r="I7" s="85"/>
      <c r="J7" s="85"/>
      <c r="K7" s="85"/>
      <c r="L7" s="85"/>
      <c r="M7" s="85"/>
      <c r="N7" s="85"/>
      <c r="O7" s="86"/>
      <c r="P7" s="3"/>
    </row>
    <row r="8" spans="1:16">
      <c r="A8" s="18"/>
      <c r="B8" s="19"/>
      <c r="C8" s="18"/>
      <c r="D8" s="18"/>
      <c r="E8" s="18"/>
      <c r="F8" s="18"/>
      <c r="G8" s="18"/>
      <c r="H8" s="18"/>
      <c r="I8" s="18"/>
      <c r="J8" s="18"/>
      <c r="K8" s="18"/>
      <c r="L8" s="18"/>
      <c r="M8" s="18"/>
      <c r="N8" s="18"/>
      <c r="O8" s="18"/>
      <c r="P8" s="18"/>
    </row>
    <row r="9" spans="1:16">
      <c r="A9" s="18"/>
      <c r="B9" s="19" t="s">
        <v>42</v>
      </c>
      <c r="C9" s="20" t="s">
        <v>43</v>
      </c>
      <c r="D9" s="21" t="s">
        <v>44</v>
      </c>
      <c r="E9" s="22"/>
      <c r="F9" s="18"/>
      <c r="G9" s="20" t="s">
        <v>45</v>
      </c>
      <c r="H9" s="21" t="s">
        <v>46</v>
      </c>
      <c r="I9" s="22"/>
      <c r="J9" s="18"/>
      <c r="K9" s="18"/>
      <c r="L9" s="18"/>
      <c r="M9" s="18"/>
      <c r="N9" s="18"/>
      <c r="O9" s="18"/>
      <c r="P9" s="18"/>
    </row>
    <row r="10" spans="1:16">
      <c r="A10" s="18"/>
      <c r="B10" s="19"/>
      <c r="C10" s="7" t="s">
        <v>1</v>
      </c>
      <c r="D10" s="23">
        <f>60/6</f>
        <v>10</v>
      </c>
      <c r="E10" s="22" t="s">
        <v>14</v>
      </c>
      <c r="F10" s="18"/>
      <c r="G10" s="7" t="s">
        <v>1</v>
      </c>
      <c r="H10" s="23">
        <v>10</v>
      </c>
      <c r="I10" s="22" t="s">
        <v>14</v>
      </c>
      <c r="J10" s="18"/>
      <c r="K10" s="18"/>
      <c r="L10" s="18"/>
      <c r="M10" s="18"/>
      <c r="N10" s="18"/>
      <c r="O10" s="18"/>
      <c r="P10" s="18"/>
    </row>
    <row r="11" spans="1:16">
      <c r="A11" s="18"/>
      <c r="B11" s="19"/>
      <c r="C11" s="9" t="s">
        <v>3</v>
      </c>
      <c r="D11" s="23">
        <v>8</v>
      </c>
      <c r="E11" s="22" t="s">
        <v>14</v>
      </c>
      <c r="F11" s="18"/>
      <c r="G11" s="9" t="s">
        <v>3</v>
      </c>
      <c r="H11" s="23">
        <v>5</v>
      </c>
      <c r="I11" s="22" t="s">
        <v>14</v>
      </c>
      <c r="J11" s="18"/>
      <c r="K11" s="18"/>
      <c r="L11" s="18"/>
      <c r="M11" s="18"/>
      <c r="N11" s="18"/>
      <c r="O11" s="18"/>
      <c r="P11" s="18"/>
    </row>
    <row r="12" spans="1:16">
      <c r="A12" s="18"/>
      <c r="B12" s="19"/>
      <c r="C12" s="7" t="s">
        <v>4</v>
      </c>
      <c r="D12" s="23">
        <f>D11/D10</f>
        <v>0.8</v>
      </c>
      <c r="E12" s="22"/>
      <c r="F12" s="18"/>
      <c r="G12" s="7" t="s">
        <v>4</v>
      </c>
      <c r="H12" s="23">
        <f>H11/H10</f>
        <v>0.5</v>
      </c>
      <c r="I12" s="22"/>
      <c r="J12" s="18"/>
      <c r="K12" s="18"/>
      <c r="L12" s="18"/>
      <c r="M12" s="18"/>
      <c r="N12" s="18"/>
      <c r="O12" s="18"/>
      <c r="P12" s="18"/>
    </row>
    <row r="13" spans="1:16">
      <c r="A13" s="18"/>
      <c r="B13" s="19"/>
      <c r="C13" s="9" t="s">
        <v>47</v>
      </c>
      <c r="D13" s="23">
        <f>D12*(1/(D10-D11))</f>
        <v>0.4</v>
      </c>
      <c r="E13" s="22" t="s">
        <v>48</v>
      </c>
      <c r="F13" s="18"/>
      <c r="G13" s="9" t="s">
        <v>47</v>
      </c>
      <c r="H13" s="23">
        <f>H12*(1/(H10-H11))</f>
        <v>0.1</v>
      </c>
      <c r="I13" s="22" t="s">
        <v>48</v>
      </c>
      <c r="J13" s="18"/>
      <c r="K13" s="18"/>
      <c r="L13" s="18"/>
      <c r="M13" s="18"/>
      <c r="N13" s="18"/>
      <c r="O13" s="18"/>
      <c r="P13" s="18"/>
    </row>
    <row r="14" spans="1:16">
      <c r="A14" s="18"/>
      <c r="B14" s="19"/>
      <c r="C14" s="7"/>
      <c r="D14" s="23">
        <f>D13*60</f>
        <v>24</v>
      </c>
      <c r="E14" s="22" t="s">
        <v>49</v>
      </c>
      <c r="F14" s="18"/>
      <c r="G14" s="7"/>
      <c r="H14" s="23">
        <f>H13*60</f>
        <v>6</v>
      </c>
      <c r="I14" s="22" t="s">
        <v>49</v>
      </c>
      <c r="J14" s="18"/>
      <c r="K14" s="18"/>
      <c r="L14" s="18"/>
      <c r="M14" s="18"/>
      <c r="N14" s="18"/>
      <c r="O14" s="18"/>
      <c r="P14" s="18"/>
    </row>
    <row r="15" spans="1:16">
      <c r="A15" s="18"/>
      <c r="B15" s="19"/>
      <c r="C15" s="18"/>
      <c r="D15" s="18"/>
      <c r="E15" s="18"/>
      <c r="F15" s="18"/>
      <c r="G15" s="18"/>
      <c r="H15" s="18"/>
      <c r="I15" s="18"/>
      <c r="J15" s="18"/>
      <c r="K15" s="18"/>
      <c r="L15" s="18"/>
      <c r="M15" s="18"/>
      <c r="N15" s="18"/>
      <c r="O15" s="18"/>
      <c r="P15" s="18"/>
    </row>
    <row r="16" spans="1:16">
      <c r="A16" s="18"/>
      <c r="B16" s="19" t="s">
        <v>50</v>
      </c>
      <c r="C16" s="7" t="s">
        <v>51</v>
      </c>
      <c r="D16" s="23">
        <v>2</v>
      </c>
      <c r="E16" s="22"/>
      <c r="F16" s="18"/>
      <c r="G16" s="18"/>
      <c r="H16" s="18"/>
      <c r="I16" s="18"/>
      <c r="J16" s="18"/>
      <c r="K16" s="18"/>
      <c r="L16" s="18"/>
      <c r="M16" s="18"/>
      <c r="N16" s="18"/>
      <c r="O16" s="18"/>
      <c r="P16" s="18"/>
    </row>
    <row r="17" spans="1:16">
      <c r="A17" s="18"/>
      <c r="B17" s="19"/>
      <c r="C17" s="9" t="s">
        <v>3</v>
      </c>
      <c r="D17" s="23">
        <f>D11+H11</f>
        <v>13</v>
      </c>
      <c r="E17" s="22" t="s">
        <v>14</v>
      </c>
      <c r="F17" s="18"/>
      <c r="G17" s="18"/>
      <c r="H17" s="18"/>
      <c r="I17" s="18"/>
      <c r="J17" s="18"/>
      <c r="K17" s="18"/>
      <c r="L17" s="18"/>
      <c r="M17" s="18"/>
      <c r="N17" s="18"/>
      <c r="O17" s="18"/>
      <c r="P17" s="18"/>
    </row>
    <row r="18" spans="1:16">
      <c r="A18" s="18"/>
      <c r="B18" s="19"/>
      <c r="C18" s="7" t="s">
        <v>1</v>
      </c>
      <c r="D18" s="23">
        <v>10</v>
      </c>
      <c r="E18" s="22" t="s">
        <v>14</v>
      </c>
      <c r="F18" s="18"/>
      <c r="G18" s="18"/>
      <c r="H18" s="18"/>
      <c r="I18" s="18"/>
      <c r="J18" s="18"/>
      <c r="K18" s="18"/>
      <c r="L18" s="18"/>
      <c r="M18" s="18"/>
      <c r="N18" s="18"/>
      <c r="O18" s="18"/>
      <c r="P18" s="18"/>
    </row>
    <row r="19" spans="1:16">
      <c r="A19" s="18"/>
      <c r="B19" s="19"/>
      <c r="C19" s="7" t="s">
        <v>4</v>
      </c>
      <c r="D19" s="23">
        <f>D17/(D18*D16)</f>
        <v>0.65</v>
      </c>
      <c r="E19" s="22"/>
      <c r="F19" s="18"/>
      <c r="G19" s="18"/>
      <c r="H19" s="18" t="s">
        <v>52</v>
      </c>
      <c r="I19" s="18"/>
      <c r="J19" s="18"/>
      <c r="K19" s="18"/>
      <c r="L19" s="18"/>
      <c r="M19" s="18"/>
      <c r="N19" s="18"/>
      <c r="O19" s="18"/>
      <c r="P19" s="18"/>
    </row>
    <row r="20" spans="1:16">
      <c r="A20" s="18"/>
      <c r="B20" s="19"/>
      <c r="C20" s="87" t="s">
        <v>53</v>
      </c>
      <c r="D20" s="88"/>
      <c r="E20" s="89"/>
      <c r="F20" s="18"/>
      <c r="G20" s="18"/>
      <c r="H20" s="18"/>
      <c r="I20" s="18"/>
      <c r="J20" s="18"/>
      <c r="K20" s="18"/>
      <c r="L20" s="18"/>
      <c r="M20" s="18"/>
      <c r="N20" s="18"/>
      <c r="O20" s="18"/>
      <c r="P20" s="18"/>
    </row>
    <row r="21" spans="1:16" ht="15.6">
      <c r="A21" s="18"/>
      <c r="B21" s="19"/>
      <c r="C21" s="7" t="s">
        <v>23</v>
      </c>
      <c r="D21" s="23">
        <f>1/((D17/D18)^0/FACT(0)+(D17/D18)^1/FACT(1)+((D17/D18)^D16/FACT(D16)*(D16*D18/(D16*D18-D17))))</f>
        <v>0.21212121212121213</v>
      </c>
      <c r="E21" s="22"/>
      <c r="F21" s="18"/>
      <c r="G21" s="18"/>
      <c r="H21" s="18"/>
      <c r="I21" s="18"/>
      <c r="J21" s="18"/>
      <c r="K21" s="18"/>
      <c r="L21" s="18"/>
      <c r="M21" s="18"/>
      <c r="N21" s="18"/>
      <c r="O21" s="18"/>
      <c r="P21" s="18"/>
    </row>
    <row r="22" spans="1:16">
      <c r="A22" s="18"/>
      <c r="B22" s="19"/>
      <c r="C22" s="9" t="s">
        <v>47</v>
      </c>
      <c r="D22" s="23">
        <f>(D18*(D17/D18)^D16)/(FACT(D16-1)*(D16*D18-D17)^2)*D21</f>
        <v>7.3160173160173161E-2</v>
      </c>
      <c r="E22" s="22" t="s">
        <v>48</v>
      </c>
      <c r="F22" s="18"/>
      <c r="G22" s="18"/>
      <c r="H22" s="18"/>
      <c r="I22" s="18"/>
      <c r="J22" s="18"/>
      <c r="K22" s="18"/>
      <c r="L22" s="18"/>
      <c r="M22" s="18"/>
      <c r="N22" s="18"/>
      <c r="O22" s="18"/>
      <c r="P22" s="18"/>
    </row>
    <row r="23" spans="1:16">
      <c r="A23" s="18"/>
      <c r="B23" s="19"/>
      <c r="C23" s="7"/>
      <c r="D23" s="23">
        <f>D22*60</f>
        <v>4.3896103896103895</v>
      </c>
      <c r="E23" s="22" t="s">
        <v>49</v>
      </c>
      <c r="F23" s="18"/>
      <c r="G23" s="18"/>
      <c r="H23" s="18"/>
      <c r="I23" s="18"/>
      <c r="J23" s="18"/>
      <c r="K23" s="18"/>
      <c r="L23" s="18"/>
      <c r="M23" s="18"/>
      <c r="N23" s="18"/>
      <c r="O23" s="18"/>
      <c r="P23" s="18"/>
    </row>
    <row r="24" spans="1:16">
      <c r="A24" s="18"/>
      <c r="B24" s="19"/>
      <c r="C24" s="18"/>
      <c r="D24" s="18"/>
      <c r="E24" s="18"/>
      <c r="F24" s="18"/>
      <c r="G24" s="18"/>
      <c r="H24" s="18"/>
      <c r="I24" s="18"/>
      <c r="J24" s="18"/>
      <c r="K24" s="18"/>
      <c r="L24" s="18"/>
      <c r="M24" s="18"/>
      <c r="N24" s="18"/>
      <c r="O24" s="18"/>
      <c r="P24" s="18"/>
    </row>
    <row r="25" spans="1:16">
      <c r="A25" s="18"/>
      <c r="B25" s="19"/>
      <c r="C25" s="18"/>
      <c r="D25" s="18"/>
      <c r="E25" s="18"/>
      <c r="F25" s="18"/>
      <c r="G25" s="18"/>
      <c r="H25" s="18"/>
      <c r="I25" s="18"/>
      <c r="J25" s="18"/>
      <c r="K25" s="18"/>
      <c r="L25" s="18"/>
      <c r="M25" s="18"/>
      <c r="N25" s="18"/>
      <c r="O25" s="18"/>
      <c r="P25" s="18"/>
    </row>
    <row r="26" spans="1:16">
      <c r="A26" s="18"/>
      <c r="B26" s="19"/>
      <c r="C26" s="18"/>
      <c r="D26" s="18"/>
      <c r="E26" s="18"/>
      <c r="F26" s="18"/>
      <c r="G26" s="18"/>
      <c r="H26" s="18"/>
      <c r="I26" s="18"/>
      <c r="J26" s="18"/>
      <c r="K26" s="18"/>
      <c r="L26" s="18"/>
      <c r="M26" s="18"/>
      <c r="N26" s="18"/>
      <c r="O26" s="18"/>
      <c r="P26" s="18"/>
    </row>
  </sheetData>
  <mergeCells count="4">
    <mergeCell ref="B3:O5"/>
    <mergeCell ref="B6:O6"/>
    <mergeCell ref="B7:O7"/>
    <mergeCell ref="C20:E2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21"/>
  <sheetViews>
    <sheetView workbookViewId="0"/>
  </sheetViews>
  <sheetFormatPr defaultRowHeight="14.4"/>
  <sheetData>
    <row r="1" spans="1:15">
      <c r="A1" t="s">
        <v>62</v>
      </c>
    </row>
    <row r="3" spans="1:15">
      <c r="B3" s="18"/>
      <c r="C3" s="18"/>
      <c r="D3" s="18"/>
      <c r="E3" s="18"/>
      <c r="F3" s="18"/>
      <c r="G3" s="18"/>
      <c r="H3" s="18"/>
      <c r="I3" s="18"/>
      <c r="J3" s="18"/>
      <c r="K3" s="18"/>
      <c r="L3" s="18"/>
      <c r="M3" s="18"/>
      <c r="N3" s="18"/>
      <c r="O3" s="18"/>
    </row>
    <row r="4" spans="1:15">
      <c r="B4" s="91" t="s">
        <v>55</v>
      </c>
      <c r="C4" s="77"/>
      <c r="D4" s="77"/>
      <c r="E4" s="77"/>
      <c r="F4" s="77"/>
      <c r="G4" s="77"/>
      <c r="H4" s="77"/>
      <c r="I4" s="77"/>
      <c r="J4" s="77"/>
      <c r="K4" s="77"/>
      <c r="L4" s="77"/>
      <c r="M4" s="77"/>
      <c r="N4" s="77"/>
      <c r="O4" s="78"/>
    </row>
    <row r="5" spans="1:15">
      <c r="B5" s="82"/>
      <c r="C5" s="83"/>
      <c r="D5" s="83"/>
      <c r="E5" s="83"/>
      <c r="F5" s="83"/>
      <c r="G5" s="83"/>
      <c r="H5" s="83"/>
      <c r="I5" s="83"/>
      <c r="J5" s="83"/>
      <c r="K5" s="83"/>
      <c r="L5" s="83"/>
      <c r="M5" s="83"/>
      <c r="N5" s="83"/>
      <c r="O5" s="81"/>
    </row>
    <row r="6" spans="1:15">
      <c r="B6" s="82" t="s">
        <v>56</v>
      </c>
      <c r="C6" s="83"/>
      <c r="D6" s="83"/>
      <c r="E6" s="83"/>
      <c r="F6" s="83"/>
      <c r="G6" s="83"/>
      <c r="H6" s="83"/>
      <c r="I6" s="83"/>
      <c r="J6" s="83"/>
      <c r="K6" s="83"/>
      <c r="L6" s="83"/>
      <c r="M6" s="83"/>
      <c r="N6" s="83"/>
      <c r="O6" s="81"/>
    </row>
    <row r="7" spans="1:15">
      <c r="B7" s="82" t="s">
        <v>57</v>
      </c>
      <c r="C7" s="83"/>
      <c r="D7" s="83"/>
      <c r="E7" s="83"/>
      <c r="F7" s="83"/>
      <c r="G7" s="83"/>
      <c r="H7" s="83"/>
      <c r="I7" s="83"/>
      <c r="J7" s="83"/>
      <c r="K7" s="83"/>
      <c r="L7" s="83"/>
      <c r="M7" s="83"/>
      <c r="N7" s="83"/>
      <c r="O7" s="81"/>
    </row>
    <row r="8" spans="1:15">
      <c r="B8" s="92" t="s">
        <v>58</v>
      </c>
      <c r="C8" s="85"/>
      <c r="D8" s="85"/>
      <c r="E8" s="85"/>
      <c r="F8" s="85"/>
      <c r="G8" s="85"/>
      <c r="H8" s="85"/>
      <c r="I8" s="85"/>
      <c r="J8" s="85"/>
      <c r="K8" s="85"/>
      <c r="L8" s="85"/>
      <c r="M8" s="85"/>
      <c r="N8" s="85"/>
      <c r="O8" s="86"/>
    </row>
    <row r="9" spans="1:15">
      <c r="B9" s="18"/>
      <c r="C9" s="18"/>
      <c r="D9" s="18"/>
      <c r="E9" s="18"/>
      <c r="F9" s="18"/>
      <c r="G9" s="18"/>
      <c r="H9" s="18"/>
      <c r="I9" s="18"/>
      <c r="J9" s="18"/>
      <c r="K9" s="18"/>
      <c r="L9" s="18"/>
      <c r="M9" s="18"/>
      <c r="N9" s="18"/>
      <c r="O9" s="18"/>
    </row>
    <row r="10" spans="1:15">
      <c r="B10" s="9" t="s">
        <v>51</v>
      </c>
      <c r="C10" s="23">
        <v>2</v>
      </c>
      <c r="D10" s="90"/>
      <c r="E10" s="90"/>
      <c r="F10" s="90"/>
      <c r="G10" s="18"/>
      <c r="H10" s="18"/>
      <c r="I10" s="18"/>
      <c r="J10" s="18"/>
      <c r="K10" s="18"/>
      <c r="L10" s="18"/>
      <c r="M10" s="18"/>
      <c r="N10" s="18"/>
      <c r="O10" s="18"/>
    </row>
    <row r="11" spans="1:15">
      <c r="B11" s="7" t="s">
        <v>1</v>
      </c>
      <c r="C11" s="23">
        <f>1/4</f>
        <v>0.25</v>
      </c>
      <c r="D11" s="90" t="s">
        <v>2</v>
      </c>
      <c r="E11" s="90"/>
      <c r="F11" s="90"/>
      <c r="G11" s="18"/>
      <c r="H11" s="18"/>
      <c r="I11" s="18"/>
      <c r="J11" s="18"/>
      <c r="K11" s="18"/>
      <c r="L11" s="18"/>
      <c r="M11" s="18"/>
      <c r="N11" s="18"/>
      <c r="O11" s="18"/>
    </row>
    <row r="12" spans="1:15">
      <c r="B12" s="9" t="s">
        <v>3</v>
      </c>
      <c r="C12" s="23">
        <f>10/60</f>
        <v>0.16666666666666666</v>
      </c>
      <c r="D12" s="90" t="s">
        <v>2</v>
      </c>
      <c r="E12" s="90"/>
      <c r="F12" s="90"/>
      <c r="G12" s="18"/>
      <c r="H12" s="18"/>
      <c r="I12" s="18"/>
      <c r="J12" s="18"/>
      <c r="K12" s="18"/>
      <c r="L12" s="18"/>
      <c r="M12" s="18"/>
      <c r="N12" s="18"/>
      <c r="O12" s="18"/>
    </row>
    <row r="13" spans="1:15">
      <c r="B13" s="7" t="s">
        <v>4</v>
      </c>
      <c r="C13" s="23">
        <f>C12/(C10*C11)</f>
        <v>0.33333333333333331</v>
      </c>
      <c r="D13" s="90" t="s">
        <v>59</v>
      </c>
      <c r="E13" s="90"/>
      <c r="F13" s="90"/>
      <c r="G13" s="18"/>
      <c r="H13" s="18"/>
      <c r="I13" s="18"/>
      <c r="J13" s="18"/>
      <c r="K13" s="18"/>
      <c r="L13" s="18"/>
      <c r="M13" s="18"/>
      <c r="N13" s="18"/>
      <c r="O13" s="18"/>
    </row>
    <row r="14" spans="1:15" ht="15.6">
      <c r="B14" s="7" t="s">
        <v>23</v>
      </c>
      <c r="C14" s="23">
        <f>((C12/C11)^0/FACT(0)+(C12/C11)^1/FACT(1)+(C12/C11)^2/FACT(2)*(C10*C11/(C10*C11-C12)))^(-1)</f>
        <v>0.5</v>
      </c>
      <c r="D14" s="90"/>
      <c r="E14" s="90"/>
      <c r="F14" s="90"/>
      <c r="G14" s="18"/>
      <c r="H14" s="18"/>
      <c r="I14" s="18"/>
      <c r="J14" s="18"/>
      <c r="K14" s="18"/>
      <c r="L14" s="18"/>
      <c r="M14" s="18"/>
      <c r="N14" s="18"/>
      <c r="O14" s="18"/>
    </row>
    <row r="15" spans="1:15" ht="15.6">
      <c r="B15" s="7" t="s">
        <v>32</v>
      </c>
      <c r="C15" s="23">
        <f>1/FACT(1)*(C12/C11)^1*C14</f>
        <v>0.33333333333333331</v>
      </c>
      <c r="D15" s="90"/>
      <c r="E15" s="90"/>
      <c r="F15" s="90"/>
      <c r="G15" s="18"/>
      <c r="H15" s="18"/>
      <c r="I15" s="18"/>
      <c r="J15" s="18"/>
      <c r="K15" s="18"/>
      <c r="L15" s="18"/>
      <c r="M15" s="18"/>
      <c r="N15" s="18"/>
      <c r="O15" s="18"/>
    </row>
    <row r="16" spans="1:15">
      <c r="B16" s="18"/>
      <c r="C16" s="18"/>
      <c r="D16" s="18"/>
      <c r="E16" s="18"/>
      <c r="F16" s="18"/>
      <c r="G16" s="18"/>
      <c r="H16" s="18"/>
      <c r="I16" s="18"/>
      <c r="J16" s="18"/>
      <c r="K16" s="18"/>
      <c r="L16" s="18"/>
      <c r="M16" s="18"/>
      <c r="N16" s="18"/>
      <c r="O16" s="18"/>
    </row>
    <row r="17" spans="2:15">
      <c r="B17" s="7" t="s">
        <v>42</v>
      </c>
      <c r="C17" s="23">
        <f>1-(C14+C15)</f>
        <v>0.16666666666666674</v>
      </c>
      <c r="D17" s="90"/>
      <c r="E17" s="90"/>
      <c r="F17" s="90"/>
      <c r="G17" s="18"/>
      <c r="H17" s="18"/>
      <c r="I17" s="18"/>
      <c r="J17" s="18"/>
      <c r="K17" s="18"/>
      <c r="L17" s="18"/>
      <c r="M17" s="18"/>
      <c r="N17" s="18"/>
      <c r="O17" s="18"/>
    </row>
    <row r="18" spans="2:15">
      <c r="B18" s="7" t="s">
        <v>50</v>
      </c>
      <c r="C18" s="24">
        <f>1-C13</f>
        <v>0.66666666666666674</v>
      </c>
      <c r="D18" s="90"/>
      <c r="E18" s="90"/>
      <c r="F18" s="90"/>
      <c r="G18" s="18"/>
      <c r="H18" s="18"/>
      <c r="I18" s="18"/>
      <c r="J18" s="18"/>
      <c r="K18" s="18"/>
      <c r="L18" s="18"/>
      <c r="M18" s="18"/>
      <c r="N18" s="18"/>
      <c r="O18" s="18"/>
    </row>
    <row r="19" spans="2:15" ht="15.6">
      <c r="B19" s="25" t="s">
        <v>60</v>
      </c>
      <c r="C19" s="26">
        <f>(C12*C11*(C12/C11)^C10)/(FACT(C10-1)*(C10*C11-C12)^2)*C14</f>
        <v>8.3333333333333315E-2</v>
      </c>
      <c r="D19" s="90"/>
      <c r="E19" s="90"/>
      <c r="F19" s="90"/>
      <c r="G19" s="18"/>
      <c r="H19" s="18"/>
      <c r="I19" s="18"/>
      <c r="J19" s="18"/>
      <c r="K19" s="18"/>
      <c r="L19" s="18"/>
      <c r="M19" s="18"/>
      <c r="N19" s="18"/>
      <c r="O19" s="18"/>
    </row>
    <row r="20" spans="2:15" ht="15.6">
      <c r="B20" s="25" t="s">
        <v>61</v>
      </c>
      <c r="C20" s="26">
        <f>C19+(C12/C11)</f>
        <v>0.75</v>
      </c>
      <c r="D20" s="90"/>
      <c r="E20" s="90"/>
      <c r="F20" s="90"/>
      <c r="G20" s="18"/>
      <c r="H20" s="18"/>
      <c r="I20" s="18"/>
      <c r="J20" s="18"/>
      <c r="K20" s="18"/>
      <c r="L20" s="18"/>
      <c r="M20" s="18"/>
      <c r="N20" s="18"/>
      <c r="O20" s="18"/>
    </row>
    <row r="21" spans="2:15">
      <c r="B21" s="18"/>
      <c r="C21" s="18"/>
      <c r="D21" s="18"/>
      <c r="E21" s="18"/>
      <c r="F21" s="18"/>
      <c r="G21" s="18"/>
      <c r="H21" s="18"/>
      <c r="I21" s="18"/>
      <c r="J21" s="18"/>
      <c r="K21" s="18"/>
      <c r="L21" s="18"/>
      <c r="M21" s="18"/>
      <c r="N21" s="18"/>
      <c r="O21" s="18"/>
    </row>
  </sheetData>
  <mergeCells count="14">
    <mergeCell ref="D19:F19"/>
    <mergeCell ref="D20:F20"/>
    <mergeCell ref="D12:F12"/>
    <mergeCell ref="D13:F13"/>
    <mergeCell ref="D14:F14"/>
    <mergeCell ref="D15:F15"/>
    <mergeCell ref="D17:F17"/>
    <mergeCell ref="D18:F18"/>
    <mergeCell ref="D11:F11"/>
    <mergeCell ref="B4:O5"/>
    <mergeCell ref="B6:O6"/>
    <mergeCell ref="B7:O7"/>
    <mergeCell ref="B8:O8"/>
    <mergeCell ref="D10: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19"/>
  <sheetViews>
    <sheetView workbookViewId="0">
      <selection activeCell="I10" sqref="I10"/>
    </sheetView>
  </sheetViews>
  <sheetFormatPr defaultRowHeight="14.4"/>
  <sheetData>
    <row r="1" spans="1:17">
      <c r="A1" t="s">
        <v>66</v>
      </c>
    </row>
    <row r="3" spans="1:17">
      <c r="A3" s="18"/>
      <c r="B3" s="18"/>
      <c r="C3" s="18"/>
      <c r="D3" s="18"/>
      <c r="E3" s="18"/>
      <c r="F3" s="18"/>
      <c r="G3" s="18"/>
      <c r="H3" s="18"/>
      <c r="I3" s="18"/>
      <c r="J3" s="18"/>
      <c r="K3" s="18"/>
      <c r="L3" s="18"/>
      <c r="M3" s="18"/>
      <c r="N3" s="18"/>
      <c r="O3" s="18"/>
      <c r="P3" s="18"/>
      <c r="Q3" s="18"/>
    </row>
    <row r="4" spans="1:17">
      <c r="A4" s="1"/>
      <c r="B4" s="91" t="s">
        <v>63</v>
      </c>
      <c r="C4" s="77"/>
      <c r="D4" s="77"/>
      <c r="E4" s="77"/>
      <c r="F4" s="77"/>
      <c r="G4" s="77"/>
      <c r="H4" s="77"/>
      <c r="I4" s="77"/>
      <c r="J4" s="77"/>
      <c r="K4" s="77"/>
      <c r="L4" s="77"/>
      <c r="M4" s="77"/>
      <c r="N4" s="77"/>
      <c r="O4" s="77"/>
      <c r="P4" s="77"/>
      <c r="Q4" s="78"/>
    </row>
    <row r="5" spans="1:17">
      <c r="A5" s="1"/>
      <c r="B5" s="82" t="s">
        <v>64</v>
      </c>
      <c r="C5" s="83"/>
      <c r="D5" s="83"/>
      <c r="E5" s="83"/>
      <c r="F5" s="83"/>
      <c r="G5" s="83"/>
      <c r="H5" s="83"/>
      <c r="I5" s="83"/>
      <c r="J5" s="83"/>
      <c r="K5" s="83"/>
      <c r="L5" s="83"/>
      <c r="M5" s="83"/>
      <c r="N5" s="83"/>
      <c r="O5" s="83"/>
      <c r="P5" s="83"/>
      <c r="Q5" s="81"/>
    </row>
    <row r="6" spans="1:17">
      <c r="A6" s="1"/>
      <c r="B6" s="92" t="s">
        <v>65</v>
      </c>
      <c r="C6" s="85"/>
      <c r="D6" s="85"/>
      <c r="E6" s="85"/>
      <c r="F6" s="85"/>
      <c r="G6" s="85"/>
      <c r="H6" s="85"/>
      <c r="I6" s="85"/>
      <c r="J6" s="85"/>
      <c r="K6" s="85"/>
      <c r="L6" s="85"/>
      <c r="M6" s="85"/>
      <c r="N6" s="85"/>
      <c r="O6" s="85"/>
      <c r="P6" s="85"/>
      <c r="Q6" s="86"/>
    </row>
    <row r="7" spans="1:17">
      <c r="A7" s="18"/>
      <c r="B7" s="18"/>
      <c r="C7" s="18"/>
      <c r="D7" s="18"/>
      <c r="E7" s="18"/>
      <c r="F7" s="18"/>
      <c r="G7" s="18"/>
      <c r="H7" s="18"/>
      <c r="I7" s="18"/>
      <c r="J7" s="18"/>
      <c r="K7" s="18"/>
      <c r="L7" s="18"/>
      <c r="M7" s="18"/>
      <c r="N7" s="18"/>
      <c r="O7" s="18"/>
      <c r="P7" s="18"/>
      <c r="Q7" s="18"/>
    </row>
    <row r="8" spans="1:17">
      <c r="A8" s="18"/>
      <c r="B8" s="9" t="s">
        <v>51</v>
      </c>
      <c r="C8" s="23">
        <v>2</v>
      </c>
      <c r="D8" s="90"/>
      <c r="E8" s="90"/>
      <c r="F8" s="90"/>
      <c r="G8" s="18"/>
      <c r="H8" s="18"/>
      <c r="I8" s="18"/>
      <c r="J8" s="18"/>
      <c r="K8" s="18"/>
      <c r="L8" s="18"/>
      <c r="M8" s="18"/>
      <c r="N8" s="18"/>
      <c r="O8" s="18"/>
      <c r="P8" s="18"/>
      <c r="Q8" s="18"/>
    </row>
    <row r="9" spans="1:17">
      <c r="A9" s="18"/>
      <c r="B9" s="7" t="s">
        <v>1</v>
      </c>
      <c r="C9" s="23">
        <f>60/5</f>
        <v>12</v>
      </c>
      <c r="D9" s="90" t="s">
        <v>14</v>
      </c>
      <c r="E9" s="90"/>
      <c r="F9" s="90"/>
      <c r="G9" s="18"/>
      <c r="H9" s="18"/>
      <c r="I9" s="18"/>
      <c r="J9" s="18"/>
      <c r="K9" s="18"/>
      <c r="L9" s="18"/>
      <c r="M9" s="18"/>
      <c r="N9" s="18"/>
      <c r="O9" s="18"/>
      <c r="P9" s="18"/>
      <c r="Q9" s="18"/>
    </row>
    <row r="10" spans="1:17">
      <c r="A10" s="18"/>
      <c r="B10" s="9" t="s">
        <v>3</v>
      </c>
      <c r="C10" s="23">
        <v>15</v>
      </c>
      <c r="D10" s="90" t="s">
        <v>14</v>
      </c>
      <c r="E10" s="90"/>
      <c r="F10" s="90"/>
      <c r="G10" s="18"/>
      <c r="H10" s="18"/>
      <c r="I10" s="18"/>
      <c r="J10" s="18"/>
      <c r="K10" s="18"/>
      <c r="L10" s="18"/>
      <c r="M10" s="18"/>
      <c r="N10" s="18"/>
      <c r="O10" s="18"/>
      <c r="P10" s="18"/>
      <c r="Q10" s="18"/>
    </row>
    <row r="11" spans="1:17">
      <c r="A11" s="18"/>
      <c r="B11" s="7" t="s">
        <v>4</v>
      </c>
      <c r="C11" s="23">
        <f>C10/(C8*C9)</f>
        <v>0.625</v>
      </c>
      <c r="D11" s="90" t="s">
        <v>59</v>
      </c>
      <c r="E11" s="90"/>
      <c r="F11" s="90"/>
      <c r="G11" s="18"/>
      <c r="H11" s="18"/>
      <c r="I11" s="18"/>
      <c r="J11" s="18"/>
      <c r="K11" s="18"/>
      <c r="L11" s="18"/>
      <c r="M11" s="18"/>
      <c r="N11" s="18"/>
      <c r="O11" s="18"/>
      <c r="P11" s="18"/>
      <c r="Q11" s="18"/>
    </row>
    <row r="12" spans="1:17" ht="15.6">
      <c r="A12" s="18"/>
      <c r="B12" s="7" t="s">
        <v>23</v>
      </c>
      <c r="C12" s="23">
        <f>((C10/C9)^0/FACT(0)+(C10/C9)^1/FACT(1)+(C10/C9)^2/FACT(2)*(C8*C9/(C8*C9-C10)))^(-1)</f>
        <v>0.23076923076923078</v>
      </c>
      <c r="D12" s="90"/>
      <c r="E12" s="90"/>
      <c r="F12" s="90"/>
      <c r="G12" s="18"/>
      <c r="H12" s="18"/>
      <c r="I12" s="18"/>
      <c r="J12" s="18"/>
      <c r="K12" s="18"/>
      <c r="L12" s="18"/>
      <c r="M12" s="18"/>
      <c r="N12" s="18"/>
      <c r="O12" s="18"/>
      <c r="P12" s="18"/>
      <c r="Q12" s="18"/>
    </row>
    <row r="13" spans="1:17" ht="15.6">
      <c r="A13" s="18"/>
      <c r="B13" s="7" t="s">
        <v>32</v>
      </c>
      <c r="C13" s="23">
        <f>1/FACT(1)*(C10/C9)^1*C12</f>
        <v>0.28846153846153849</v>
      </c>
      <c r="D13" s="90"/>
      <c r="E13" s="90"/>
      <c r="F13" s="90"/>
      <c r="G13" s="18"/>
      <c r="H13" s="18"/>
      <c r="I13" s="18"/>
      <c r="J13" s="18"/>
      <c r="K13" s="18"/>
      <c r="L13" s="18"/>
      <c r="M13" s="18"/>
      <c r="N13" s="18"/>
      <c r="O13" s="18"/>
      <c r="P13" s="18"/>
      <c r="Q13" s="18"/>
    </row>
    <row r="14" spans="1:17">
      <c r="A14" s="18"/>
      <c r="B14" s="18"/>
      <c r="C14" s="18"/>
      <c r="D14" s="18"/>
      <c r="E14" s="18"/>
      <c r="F14" s="18"/>
      <c r="G14" s="18"/>
      <c r="H14" s="18"/>
      <c r="I14" s="18"/>
      <c r="J14" s="18"/>
      <c r="K14" s="18"/>
      <c r="L14" s="18"/>
      <c r="M14" s="18"/>
      <c r="N14" s="18"/>
      <c r="O14" s="18"/>
      <c r="P14" s="18"/>
      <c r="Q14" s="18"/>
    </row>
    <row r="15" spans="1:17">
      <c r="A15" s="18"/>
      <c r="B15" s="7" t="s">
        <v>42</v>
      </c>
      <c r="C15" s="23">
        <f>1-(C12+C13)</f>
        <v>0.48076923076923073</v>
      </c>
      <c r="D15" s="90"/>
      <c r="E15" s="90"/>
      <c r="F15" s="90"/>
      <c r="G15" s="18"/>
      <c r="H15" s="18"/>
      <c r="I15" s="18"/>
      <c r="J15" s="18"/>
      <c r="K15" s="18"/>
      <c r="L15" s="18"/>
      <c r="M15" s="18"/>
      <c r="N15" s="18"/>
      <c r="O15" s="18"/>
      <c r="P15" s="18"/>
      <c r="Q15" s="18"/>
    </row>
    <row r="16" spans="1:17">
      <c r="A16" s="18"/>
      <c r="B16" s="7" t="s">
        <v>50</v>
      </c>
      <c r="C16" s="26">
        <f>((C10*C9*(C10/C9)^C8)/(C10*FACT(C8-1)*(C8*C9-C10)^2))*C12</f>
        <v>5.3418803418803423E-2</v>
      </c>
      <c r="D16" s="90" t="s">
        <v>14</v>
      </c>
      <c r="E16" s="90"/>
      <c r="F16" s="90"/>
      <c r="G16" s="18"/>
      <c r="H16" s="18"/>
      <c r="I16" s="18"/>
      <c r="J16" s="18"/>
      <c r="K16" s="18"/>
      <c r="L16" s="18"/>
      <c r="M16" s="18"/>
      <c r="N16" s="18"/>
      <c r="O16" s="18"/>
      <c r="P16" s="18"/>
      <c r="Q16" s="18"/>
    </row>
    <row r="17" spans="1:17">
      <c r="A17" s="18"/>
      <c r="B17" s="7"/>
      <c r="C17" s="26">
        <f>C16*60</f>
        <v>3.2051282051282053</v>
      </c>
      <c r="D17" s="90" t="s">
        <v>2</v>
      </c>
      <c r="E17" s="90"/>
      <c r="F17" s="90"/>
      <c r="G17" s="18"/>
      <c r="H17" s="18"/>
      <c r="I17" s="18"/>
      <c r="J17" s="18"/>
      <c r="K17" s="18"/>
      <c r="L17" s="18"/>
      <c r="M17" s="18"/>
      <c r="N17" s="18"/>
      <c r="O17" s="18"/>
      <c r="P17" s="18"/>
      <c r="Q17" s="18"/>
    </row>
    <row r="18" spans="1:17">
      <c r="A18" s="18"/>
      <c r="B18" s="18"/>
      <c r="C18" s="18"/>
      <c r="D18" s="18"/>
      <c r="E18" s="18"/>
      <c r="F18" s="18"/>
      <c r="G18" s="18"/>
      <c r="H18" s="18"/>
      <c r="I18" s="18"/>
      <c r="J18" s="18"/>
      <c r="K18" s="18"/>
      <c r="L18" s="18"/>
      <c r="M18" s="18"/>
      <c r="N18" s="18"/>
      <c r="O18" s="18"/>
      <c r="P18" s="18"/>
      <c r="Q18" s="18"/>
    </row>
    <row r="19" spans="1:17">
      <c r="A19" s="18"/>
      <c r="B19" s="18"/>
      <c r="C19" s="18"/>
      <c r="D19" s="18"/>
      <c r="E19" s="18"/>
      <c r="F19" s="18"/>
      <c r="G19" s="18"/>
      <c r="H19" s="18"/>
      <c r="I19" s="18"/>
      <c r="J19" s="18"/>
      <c r="K19" s="18"/>
      <c r="L19" s="18"/>
      <c r="M19" s="18"/>
      <c r="N19" s="18"/>
      <c r="O19" s="18"/>
      <c r="P19" s="18"/>
      <c r="Q19" s="18"/>
    </row>
  </sheetData>
  <mergeCells count="12">
    <mergeCell ref="D17:F17"/>
    <mergeCell ref="B4:Q4"/>
    <mergeCell ref="B5:Q5"/>
    <mergeCell ref="B6:Q6"/>
    <mergeCell ref="D8:F8"/>
    <mergeCell ref="D9:F9"/>
    <mergeCell ref="D10:F10"/>
    <mergeCell ref="D11:F11"/>
    <mergeCell ref="D12:F12"/>
    <mergeCell ref="D13:F13"/>
    <mergeCell ref="D15:F15"/>
    <mergeCell ref="D16:F1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8"/>
  <sheetViews>
    <sheetView workbookViewId="0"/>
  </sheetViews>
  <sheetFormatPr defaultRowHeight="14.4"/>
  <sheetData>
    <row r="1" spans="1:15">
      <c r="A1" s="18" t="s">
        <v>70</v>
      </c>
      <c r="B1" s="18"/>
      <c r="C1" s="18"/>
      <c r="D1" s="18"/>
      <c r="E1" s="18"/>
      <c r="F1" s="18"/>
      <c r="G1" s="18"/>
      <c r="H1" s="18"/>
      <c r="I1" s="18"/>
      <c r="J1" s="18"/>
      <c r="K1" s="18"/>
      <c r="L1" s="18"/>
      <c r="M1" s="18"/>
      <c r="N1" s="18"/>
      <c r="O1" s="18"/>
    </row>
    <row r="2" spans="1:15">
      <c r="A2" s="1"/>
      <c r="B2" s="91" t="s">
        <v>67</v>
      </c>
      <c r="C2" s="77"/>
      <c r="D2" s="77"/>
      <c r="E2" s="77"/>
      <c r="F2" s="77"/>
      <c r="G2" s="77"/>
      <c r="H2" s="77"/>
      <c r="I2" s="77"/>
      <c r="J2" s="77"/>
      <c r="K2" s="77"/>
      <c r="L2" s="77"/>
      <c r="M2" s="77"/>
      <c r="N2" s="77"/>
      <c r="O2" s="77"/>
    </row>
    <row r="3" spans="1:15">
      <c r="A3" s="1"/>
      <c r="B3" s="82"/>
      <c r="C3" s="83"/>
      <c r="D3" s="83"/>
      <c r="E3" s="83"/>
      <c r="F3" s="83"/>
      <c r="G3" s="83"/>
      <c r="H3" s="83"/>
      <c r="I3" s="83"/>
      <c r="J3" s="83"/>
      <c r="K3" s="83"/>
      <c r="L3" s="83"/>
      <c r="M3" s="83"/>
      <c r="N3" s="83"/>
      <c r="O3" s="83"/>
    </row>
    <row r="4" spans="1:15">
      <c r="A4" s="1"/>
      <c r="B4" s="82"/>
      <c r="C4" s="83"/>
      <c r="D4" s="83"/>
      <c r="E4" s="83"/>
      <c r="F4" s="83"/>
      <c r="G4" s="83"/>
      <c r="H4" s="83"/>
      <c r="I4" s="83"/>
      <c r="J4" s="83"/>
      <c r="K4" s="83"/>
      <c r="L4" s="83"/>
      <c r="M4" s="83"/>
      <c r="N4" s="83"/>
      <c r="O4" s="83"/>
    </row>
    <row r="5" spans="1:15">
      <c r="A5" s="1"/>
      <c r="B5" s="82" t="s">
        <v>68</v>
      </c>
      <c r="C5" s="83"/>
      <c r="D5" s="83"/>
      <c r="E5" s="83"/>
      <c r="F5" s="83"/>
      <c r="G5" s="83"/>
      <c r="H5" s="83"/>
      <c r="I5" s="83"/>
      <c r="J5" s="83"/>
      <c r="K5" s="83"/>
      <c r="L5" s="83"/>
      <c r="M5" s="83"/>
      <c r="N5" s="83"/>
      <c r="O5" s="83"/>
    </row>
    <row r="6" spans="1:15">
      <c r="A6" s="1"/>
      <c r="B6" s="92" t="s">
        <v>69</v>
      </c>
      <c r="C6" s="85"/>
      <c r="D6" s="85"/>
      <c r="E6" s="85"/>
      <c r="F6" s="85"/>
      <c r="G6" s="85"/>
      <c r="H6" s="85"/>
      <c r="I6" s="85"/>
      <c r="J6" s="85"/>
      <c r="K6" s="85"/>
      <c r="L6" s="85"/>
      <c r="M6" s="85"/>
      <c r="N6" s="85"/>
      <c r="O6" s="85"/>
    </row>
    <row r="7" spans="1:15">
      <c r="A7" s="18"/>
      <c r="B7" s="18"/>
      <c r="C7" s="18"/>
      <c r="D7" s="18"/>
      <c r="E7" s="18"/>
      <c r="F7" s="18"/>
      <c r="G7" s="18"/>
      <c r="H7" s="18"/>
      <c r="I7" s="18"/>
      <c r="J7" s="18"/>
      <c r="K7" s="18"/>
      <c r="L7" s="18"/>
      <c r="M7" s="18"/>
      <c r="N7" s="18"/>
      <c r="O7" s="18"/>
    </row>
    <row r="8" spans="1:15">
      <c r="A8" s="18"/>
      <c r="B8" s="9" t="s">
        <v>51</v>
      </c>
      <c r="C8" s="23">
        <v>3</v>
      </c>
      <c r="D8" s="90"/>
      <c r="E8" s="90"/>
      <c r="F8" s="90"/>
      <c r="G8" s="18"/>
      <c r="H8" s="18"/>
      <c r="I8" s="18"/>
      <c r="J8" s="18"/>
      <c r="K8" s="18"/>
      <c r="L8" s="18"/>
      <c r="M8" s="18"/>
      <c r="N8" s="18"/>
      <c r="O8" s="18"/>
    </row>
    <row r="9" spans="1:15">
      <c r="A9" s="18"/>
      <c r="B9" s="7" t="s">
        <v>1</v>
      </c>
      <c r="C9" s="23">
        <f>60/40</f>
        <v>1.5</v>
      </c>
      <c r="D9" s="90" t="s">
        <v>14</v>
      </c>
      <c r="E9" s="90"/>
      <c r="F9" s="90"/>
      <c r="G9" s="18"/>
      <c r="H9" s="18"/>
      <c r="I9" s="18"/>
      <c r="J9" s="18"/>
      <c r="K9" s="18"/>
      <c r="L9" s="18"/>
      <c r="M9" s="18"/>
      <c r="N9" s="18"/>
      <c r="O9" s="18"/>
    </row>
    <row r="10" spans="1:15">
      <c r="A10" s="18"/>
      <c r="B10" s="9" t="s">
        <v>3</v>
      </c>
      <c r="C10" s="23">
        <f>20/8</f>
        <v>2.5</v>
      </c>
      <c r="D10" s="90" t="s">
        <v>14</v>
      </c>
      <c r="E10" s="90"/>
      <c r="F10" s="90"/>
      <c r="G10" s="18"/>
      <c r="H10" s="18"/>
      <c r="I10" s="18"/>
      <c r="J10" s="18"/>
      <c r="K10" s="18"/>
      <c r="L10" s="18"/>
      <c r="M10" s="18"/>
      <c r="N10" s="18"/>
      <c r="O10" s="18"/>
    </row>
    <row r="11" spans="1:15">
      <c r="A11" s="18"/>
      <c r="B11" s="7" t="s">
        <v>4</v>
      </c>
      <c r="C11" s="23">
        <f>C10/(C8*C9)</f>
        <v>0.55555555555555558</v>
      </c>
      <c r="D11" s="90" t="s">
        <v>59</v>
      </c>
      <c r="E11" s="90"/>
      <c r="F11" s="90"/>
      <c r="G11" s="18"/>
      <c r="H11" s="18"/>
      <c r="I11" s="18"/>
      <c r="J11" s="18"/>
      <c r="K11" s="18"/>
      <c r="L11" s="18"/>
      <c r="M11" s="18"/>
      <c r="N11" s="18"/>
      <c r="O11" s="18"/>
    </row>
    <row r="12" spans="1:15" ht="15.6">
      <c r="A12" s="18"/>
      <c r="B12" s="7" t="s">
        <v>23</v>
      </c>
      <c r="C12" s="23">
        <f>((C10/C9)^0/FACT(0)+(C10/C9)^1/FACT(1)+(C10/C9)^2/FACT(2)+(C10/C9)^3/FACT(3)*(C8*C9/(C8*C9-C10)))^(-1)</f>
        <v>0.17266187050359708</v>
      </c>
      <c r="D12" s="90"/>
      <c r="E12" s="90"/>
      <c r="F12" s="90"/>
      <c r="G12" s="18"/>
      <c r="H12" s="18"/>
      <c r="I12" s="18"/>
      <c r="J12" s="18"/>
      <c r="K12" s="18"/>
      <c r="L12" s="18"/>
      <c r="M12" s="18"/>
      <c r="N12" s="18"/>
      <c r="O12" s="18"/>
    </row>
    <row r="13" spans="1:15" ht="15.6">
      <c r="A13" s="18"/>
      <c r="B13" s="7" t="s">
        <v>32</v>
      </c>
      <c r="C13" s="23">
        <f>1/FACT(1)*(C10/C9)^1*C12</f>
        <v>0.2877697841726618</v>
      </c>
      <c r="D13" s="90"/>
      <c r="E13" s="90"/>
      <c r="F13" s="90"/>
      <c r="G13" s="18"/>
      <c r="H13" s="18"/>
      <c r="I13" s="18"/>
      <c r="J13" s="18"/>
      <c r="K13" s="18"/>
      <c r="L13" s="18"/>
      <c r="M13" s="18"/>
      <c r="N13" s="18"/>
      <c r="O13" s="18"/>
    </row>
    <row r="14" spans="1:15">
      <c r="A14" s="18"/>
      <c r="B14" s="18"/>
      <c r="C14" s="18"/>
      <c r="D14" s="18"/>
      <c r="E14" s="18"/>
      <c r="F14" s="18"/>
      <c r="G14" s="18"/>
      <c r="H14" s="18"/>
      <c r="I14" s="18"/>
      <c r="J14" s="18"/>
      <c r="K14" s="18"/>
      <c r="L14" s="18"/>
      <c r="M14" s="18"/>
      <c r="N14" s="18"/>
      <c r="O14" s="18"/>
    </row>
    <row r="15" spans="1:15">
      <c r="A15" s="18"/>
      <c r="B15" s="7" t="s">
        <v>42</v>
      </c>
      <c r="C15" s="23">
        <f>C10/(C9*C8)*5*8</f>
        <v>22.222222222222221</v>
      </c>
      <c r="D15" s="90" t="s">
        <v>14</v>
      </c>
      <c r="E15" s="90"/>
      <c r="F15" s="90"/>
      <c r="G15" s="18"/>
      <c r="H15" s="18"/>
      <c r="I15" s="18"/>
      <c r="J15" s="18"/>
      <c r="K15" s="18"/>
      <c r="L15" s="18"/>
      <c r="M15" s="18"/>
      <c r="N15" s="18"/>
      <c r="O15" s="18"/>
    </row>
    <row r="16" spans="1:15">
      <c r="A16" s="18"/>
      <c r="B16" s="7" t="s">
        <v>50</v>
      </c>
      <c r="C16" s="26">
        <f>(((C10*C9*(C10/C9)^C8)/(C10*FACT(C8-1)*(C8*C9-C10)^2))*C12)+(1/C9)</f>
        <v>0.81654676258992798</v>
      </c>
      <c r="D16" s="90" t="s">
        <v>14</v>
      </c>
      <c r="E16" s="90"/>
      <c r="F16" s="90"/>
      <c r="G16" s="18"/>
      <c r="H16" s="18"/>
      <c r="I16" s="18"/>
      <c r="J16" s="18"/>
      <c r="K16" s="18"/>
      <c r="L16" s="18"/>
      <c r="M16" s="18"/>
      <c r="N16" s="18"/>
      <c r="O16" s="18"/>
    </row>
    <row r="17" spans="1:15">
      <c r="A17" s="18"/>
      <c r="B17" s="18"/>
      <c r="C17" s="18"/>
      <c r="D17" s="18"/>
      <c r="E17" s="18"/>
      <c r="F17" s="18"/>
      <c r="G17" s="18"/>
      <c r="H17" s="18"/>
      <c r="I17" s="18"/>
      <c r="J17" s="18"/>
      <c r="K17" s="18"/>
      <c r="L17" s="18"/>
      <c r="M17" s="18"/>
      <c r="N17" s="18"/>
      <c r="O17" s="18"/>
    </row>
    <row r="18" spans="1:15">
      <c r="A18" s="18"/>
      <c r="B18" s="18"/>
      <c r="C18" s="18"/>
      <c r="D18" s="18"/>
      <c r="E18" s="18"/>
      <c r="F18" s="18"/>
      <c r="G18" s="18"/>
      <c r="H18" s="18"/>
      <c r="I18" s="18"/>
      <c r="J18" s="18"/>
      <c r="K18" s="18"/>
      <c r="L18" s="18"/>
      <c r="M18" s="18"/>
      <c r="N18" s="18"/>
      <c r="O18" s="18"/>
    </row>
  </sheetData>
  <mergeCells count="11">
    <mergeCell ref="D11:F11"/>
    <mergeCell ref="D12:F12"/>
    <mergeCell ref="D13:F13"/>
    <mergeCell ref="D15:F15"/>
    <mergeCell ref="D16:F16"/>
    <mergeCell ref="D10:F10"/>
    <mergeCell ref="B2:O4"/>
    <mergeCell ref="B5:O5"/>
    <mergeCell ref="B6:O6"/>
    <mergeCell ref="D8:F8"/>
    <mergeCell ref="D9:F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20"/>
  <sheetViews>
    <sheetView workbookViewId="0"/>
  </sheetViews>
  <sheetFormatPr defaultRowHeight="14.4"/>
  <sheetData>
    <row r="1" spans="1:16">
      <c r="A1" s="46" t="s">
        <v>148</v>
      </c>
      <c r="B1" s="46"/>
      <c r="C1" s="46"/>
      <c r="D1" s="46"/>
      <c r="E1" s="46"/>
      <c r="F1" s="46"/>
      <c r="G1" s="46"/>
      <c r="H1" s="46"/>
      <c r="I1" s="46"/>
      <c r="J1" s="46"/>
      <c r="K1" s="46"/>
      <c r="L1" s="46"/>
      <c r="M1" s="46"/>
      <c r="N1" s="46"/>
      <c r="O1" s="46"/>
      <c r="P1" s="46"/>
    </row>
    <row r="2" spans="1:16" ht="15.6">
      <c r="A2" s="46"/>
      <c r="B2" s="56"/>
      <c r="C2" s="57"/>
      <c r="D2" s="57"/>
      <c r="E2" s="57"/>
      <c r="F2" s="57"/>
      <c r="G2" s="57"/>
      <c r="H2" s="57"/>
      <c r="I2" s="57"/>
      <c r="J2" s="57"/>
      <c r="K2" s="57"/>
      <c r="L2" s="57"/>
      <c r="M2" s="57"/>
      <c r="N2" s="57"/>
      <c r="O2" s="57"/>
      <c r="P2" s="57"/>
    </row>
    <row r="3" spans="1:16">
      <c r="A3" s="46"/>
      <c r="B3" s="93" t="s">
        <v>138</v>
      </c>
      <c r="C3" s="93"/>
      <c r="D3" s="93"/>
      <c r="E3" s="93"/>
      <c r="F3" s="93"/>
      <c r="G3" s="93"/>
      <c r="H3" s="93"/>
      <c r="I3" s="93"/>
      <c r="J3" s="93"/>
      <c r="K3" s="93"/>
      <c r="L3" s="93"/>
      <c r="M3" s="93"/>
      <c r="N3" s="93"/>
      <c r="O3" s="93"/>
      <c r="P3" s="93"/>
    </row>
    <row r="4" spans="1:16">
      <c r="A4" s="46"/>
      <c r="B4" s="93"/>
      <c r="C4" s="93"/>
      <c r="D4" s="93"/>
      <c r="E4" s="93"/>
      <c r="F4" s="93"/>
      <c r="G4" s="93"/>
      <c r="H4" s="93"/>
      <c r="I4" s="93"/>
      <c r="J4" s="93"/>
      <c r="K4" s="93"/>
      <c r="L4" s="93"/>
      <c r="M4" s="93"/>
      <c r="N4" s="93"/>
      <c r="O4" s="93"/>
      <c r="P4" s="93"/>
    </row>
    <row r="5" spans="1:16">
      <c r="A5" s="46"/>
      <c r="B5" s="57"/>
      <c r="C5" s="57"/>
      <c r="D5" s="57"/>
      <c r="E5" s="57"/>
      <c r="F5" s="57"/>
      <c r="G5" s="57"/>
      <c r="H5" s="57"/>
      <c r="I5" s="57"/>
      <c r="J5" s="57"/>
      <c r="K5" s="57"/>
      <c r="L5" s="57"/>
      <c r="M5" s="57"/>
      <c r="N5" s="57"/>
      <c r="O5" s="57"/>
      <c r="P5" s="57"/>
    </row>
    <row r="6" spans="1:16">
      <c r="A6" s="46"/>
      <c r="B6" s="46"/>
      <c r="C6" s="46"/>
      <c r="D6" s="46"/>
      <c r="E6" s="46"/>
      <c r="F6" s="46"/>
      <c r="G6" s="46"/>
      <c r="H6" s="46"/>
      <c r="I6" s="46"/>
      <c r="J6" s="46"/>
      <c r="K6" s="46"/>
      <c r="L6" s="46"/>
      <c r="M6" s="46"/>
      <c r="N6" s="46"/>
      <c r="O6" s="46"/>
      <c r="P6" s="46"/>
    </row>
    <row r="7" spans="1:16">
      <c r="A7" s="46"/>
      <c r="B7" s="46"/>
      <c r="C7" s="46"/>
      <c r="D7" s="46"/>
      <c r="E7" s="46"/>
      <c r="F7" s="46"/>
      <c r="G7" s="46"/>
      <c r="H7" s="46"/>
      <c r="I7" s="46"/>
      <c r="J7" s="46"/>
      <c r="K7" s="46"/>
      <c r="L7" s="46"/>
      <c r="M7" s="46"/>
      <c r="N7" s="46"/>
      <c r="O7" s="46"/>
      <c r="P7" s="46"/>
    </row>
    <row r="8" spans="1:16">
      <c r="A8" s="46"/>
      <c r="B8" s="11" t="s">
        <v>123</v>
      </c>
      <c r="C8" s="48">
        <v>20</v>
      </c>
      <c r="D8" s="48" t="s">
        <v>14</v>
      </c>
      <c r="E8" s="46"/>
      <c r="F8" s="46"/>
      <c r="G8" s="49"/>
      <c r="H8" s="46"/>
      <c r="I8" s="46"/>
      <c r="J8" s="46"/>
      <c r="K8" s="46"/>
      <c r="L8" s="46"/>
      <c r="M8" s="46"/>
      <c r="N8" s="46"/>
      <c r="O8" s="46"/>
      <c r="P8" s="46"/>
    </row>
    <row r="9" spans="1:16">
      <c r="A9" s="46"/>
      <c r="B9" s="7" t="s">
        <v>125</v>
      </c>
      <c r="C9" s="58" t="s">
        <v>139</v>
      </c>
      <c r="D9" s="48"/>
      <c r="E9" s="46"/>
      <c r="F9" s="46"/>
      <c r="G9" s="46"/>
      <c r="H9" s="46"/>
      <c r="I9" s="46"/>
      <c r="J9" s="46"/>
      <c r="K9" s="46"/>
      <c r="L9" s="46"/>
      <c r="M9" s="46"/>
      <c r="N9" s="46"/>
      <c r="O9" s="46"/>
      <c r="P9" s="46"/>
    </row>
    <row r="10" spans="1:16">
      <c r="A10" s="46"/>
      <c r="B10" s="94" t="s">
        <v>140</v>
      </c>
      <c r="C10" s="94"/>
      <c r="D10" s="94"/>
      <c r="E10" s="94"/>
      <c r="F10" s="94"/>
      <c r="G10" s="94"/>
      <c r="H10" s="46"/>
      <c r="I10" s="46"/>
      <c r="J10" s="46"/>
      <c r="K10" s="46"/>
      <c r="L10" s="46"/>
      <c r="M10" s="46"/>
      <c r="N10" s="46"/>
      <c r="O10" s="46"/>
      <c r="P10" s="46"/>
    </row>
    <row r="11" spans="1:16">
      <c r="A11" s="46"/>
      <c r="B11" s="95"/>
      <c r="C11" s="94"/>
      <c r="D11" s="94"/>
      <c r="E11" s="94"/>
      <c r="F11" s="94"/>
      <c r="G11" s="46"/>
      <c r="H11" s="46"/>
      <c r="I11" s="46"/>
      <c r="J11" s="46"/>
      <c r="K11" s="46"/>
      <c r="L11" s="46"/>
      <c r="M11" s="46"/>
      <c r="N11" s="46"/>
      <c r="O11" s="46"/>
      <c r="P11" s="46"/>
    </row>
    <row r="12" spans="1:16">
      <c r="A12" s="46"/>
      <c r="B12" s="94"/>
      <c r="C12" s="94"/>
      <c r="D12" s="94"/>
      <c r="E12" s="94"/>
      <c r="F12" s="94"/>
      <c r="G12" s="46"/>
      <c r="H12" s="46"/>
      <c r="I12" s="46"/>
      <c r="J12" s="46"/>
      <c r="K12" s="46"/>
      <c r="L12" s="46"/>
      <c r="M12" s="46"/>
      <c r="N12" s="46"/>
      <c r="O12" s="46"/>
      <c r="P12" s="46"/>
    </row>
    <row r="13" spans="1:16">
      <c r="A13" s="46"/>
      <c r="B13" s="47" t="s">
        <v>141</v>
      </c>
      <c r="C13" s="48">
        <v>20</v>
      </c>
      <c r="D13" s="48" t="s">
        <v>49</v>
      </c>
      <c r="E13" s="46"/>
      <c r="F13" s="46"/>
      <c r="G13" s="46"/>
      <c r="H13" s="46"/>
      <c r="I13" s="46"/>
      <c r="J13" s="46"/>
      <c r="K13" s="46"/>
      <c r="L13" s="46"/>
      <c r="M13" s="46"/>
      <c r="N13" s="46"/>
      <c r="O13" s="46"/>
      <c r="P13" s="46"/>
    </row>
    <row r="14" spans="1:16">
      <c r="A14" s="46"/>
      <c r="B14" s="47" t="s">
        <v>142</v>
      </c>
      <c r="C14" s="48">
        <f>95/100</f>
        <v>0.95</v>
      </c>
      <c r="D14" s="48"/>
      <c r="E14" s="46"/>
      <c r="F14" s="46"/>
      <c r="G14" s="46"/>
      <c r="H14" s="46"/>
      <c r="I14" s="46"/>
      <c r="J14" s="46"/>
      <c r="K14" s="46"/>
      <c r="L14" s="46"/>
      <c r="M14" s="46"/>
      <c r="N14" s="46"/>
      <c r="O14" s="46"/>
      <c r="P14" s="46"/>
    </row>
    <row r="15" spans="1:16">
      <c r="A15" s="46"/>
      <c r="B15" s="46"/>
      <c r="C15" s="46"/>
      <c r="D15" s="46"/>
      <c r="E15" s="46"/>
      <c r="F15" s="46"/>
      <c r="G15" s="46"/>
      <c r="H15" s="46"/>
      <c r="I15" s="46"/>
      <c r="J15" s="46"/>
      <c r="K15" s="46"/>
      <c r="L15" s="46"/>
      <c r="M15" s="46"/>
      <c r="N15" s="46"/>
      <c r="O15" s="46"/>
      <c r="P15" s="46"/>
    </row>
    <row r="16" spans="1:16">
      <c r="A16" s="46"/>
      <c r="B16" s="47" t="s">
        <v>143</v>
      </c>
      <c r="C16" s="47"/>
      <c r="D16" s="48"/>
      <c r="E16" s="46"/>
      <c r="F16" s="46"/>
      <c r="G16" s="46"/>
      <c r="H16" s="46"/>
      <c r="I16" s="46"/>
      <c r="J16" s="46"/>
      <c r="K16" s="46"/>
      <c r="L16" s="46"/>
      <c r="M16" s="46"/>
      <c r="N16" s="46"/>
      <c r="O16" s="46"/>
      <c r="P16" s="46"/>
    </row>
    <row r="17" spans="1:16">
      <c r="A17" s="46"/>
      <c r="B17" s="47" t="s">
        <v>144</v>
      </c>
      <c r="C17" s="47"/>
      <c r="D17" s="48"/>
      <c r="E17" s="46"/>
      <c r="F17" s="46"/>
      <c r="G17" s="46"/>
      <c r="H17" s="46"/>
      <c r="I17" s="46"/>
      <c r="J17" s="46"/>
      <c r="K17" s="46"/>
      <c r="L17" s="46"/>
      <c r="M17" s="46"/>
      <c r="N17" s="46"/>
      <c r="O17" s="46"/>
      <c r="P17" s="46"/>
    </row>
    <row r="18" spans="1:16">
      <c r="A18" s="46"/>
      <c r="B18" s="47" t="s">
        <v>145</v>
      </c>
      <c r="C18" s="47"/>
      <c r="D18" s="48" t="s">
        <v>146</v>
      </c>
      <c r="E18" s="46"/>
      <c r="F18" s="46"/>
      <c r="G18" s="46"/>
      <c r="H18" s="46"/>
      <c r="I18" s="46"/>
      <c r="J18" s="46"/>
      <c r="K18" s="46"/>
      <c r="L18" s="46"/>
      <c r="M18" s="46"/>
      <c r="N18" s="46"/>
      <c r="O18" s="46"/>
      <c r="P18" s="46"/>
    </row>
    <row r="19" spans="1:16">
      <c r="A19" s="46"/>
      <c r="B19" s="48"/>
      <c r="C19" s="48">
        <v>5.5719599999999998</v>
      </c>
      <c r="D19" s="48" t="s">
        <v>147</v>
      </c>
      <c r="E19" s="46"/>
      <c r="F19" s="46"/>
      <c r="G19" s="46"/>
      <c r="H19" s="46"/>
      <c r="I19" s="46"/>
      <c r="J19" s="46"/>
      <c r="K19" s="46"/>
      <c r="L19" s="46"/>
      <c r="M19" s="46"/>
      <c r="N19" s="46"/>
      <c r="O19" s="46"/>
      <c r="P19" s="46"/>
    </row>
    <row r="20" spans="1:16">
      <c r="A20" s="46"/>
      <c r="B20" s="46"/>
      <c r="C20" s="46"/>
      <c r="D20" s="46"/>
      <c r="E20" s="46"/>
      <c r="F20" s="46"/>
      <c r="G20" s="46"/>
      <c r="H20" s="59"/>
      <c r="I20" s="46"/>
      <c r="J20" s="46"/>
      <c r="K20" s="46"/>
      <c r="L20" s="46"/>
      <c r="M20" s="46"/>
      <c r="N20" s="46"/>
      <c r="O20" s="46"/>
      <c r="P20" s="46"/>
    </row>
  </sheetData>
  <mergeCells count="3">
    <mergeCell ref="B3:P4"/>
    <mergeCell ref="B10:G10"/>
    <mergeCell ref="B11:F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P13"/>
  <sheetViews>
    <sheetView workbookViewId="0">
      <selection activeCell="G9" sqref="G9"/>
    </sheetView>
  </sheetViews>
  <sheetFormatPr defaultRowHeight="14.4"/>
  <sheetData>
    <row r="1" spans="1:16">
      <c r="A1" s="18" t="s">
        <v>74</v>
      </c>
      <c r="B1" s="18"/>
      <c r="C1" s="18"/>
      <c r="D1" s="18"/>
      <c r="E1" s="18"/>
      <c r="F1" s="18"/>
      <c r="G1" s="18"/>
      <c r="H1" s="18"/>
      <c r="I1" s="18"/>
      <c r="J1" s="18"/>
      <c r="K1" s="18"/>
      <c r="L1" s="18"/>
      <c r="M1" s="18"/>
      <c r="N1" s="18"/>
      <c r="O1" s="18"/>
      <c r="P1" s="18"/>
    </row>
    <row r="2" spans="1:16">
      <c r="A2" s="1"/>
      <c r="B2" s="96" t="s">
        <v>71</v>
      </c>
      <c r="C2" s="97"/>
      <c r="D2" s="97"/>
      <c r="E2" s="97"/>
      <c r="F2" s="97"/>
      <c r="G2" s="97"/>
      <c r="H2" s="97"/>
      <c r="I2" s="97"/>
      <c r="J2" s="97"/>
      <c r="K2" s="97"/>
      <c r="L2" s="97"/>
      <c r="M2" s="97"/>
      <c r="N2" s="97"/>
      <c r="O2" s="97"/>
      <c r="P2" s="1"/>
    </row>
    <row r="3" spans="1:16">
      <c r="A3" s="1"/>
      <c r="B3" s="97"/>
      <c r="C3" s="97"/>
      <c r="D3" s="97"/>
      <c r="E3" s="97"/>
      <c r="F3" s="97"/>
      <c r="G3" s="97"/>
      <c r="H3" s="97"/>
      <c r="I3" s="97"/>
      <c r="J3" s="97"/>
      <c r="K3" s="97"/>
      <c r="L3" s="97"/>
      <c r="M3" s="97"/>
      <c r="N3" s="97"/>
      <c r="O3" s="97"/>
      <c r="P3" s="1"/>
    </row>
    <row r="4" spans="1:16">
      <c r="A4" s="27"/>
      <c r="B4" s="28"/>
      <c r="C4" s="28"/>
      <c r="D4" s="28"/>
      <c r="E4" s="28"/>
      <c r="F4" s="28"/>
      <c r="G4" s="28"/>
      <c r="H4" s="28"/>
      <c r="I4" s="28"/>
      <c r="J4" s="28"/>
      <c r="K4" s="28"/>
      <c r="L4" s="28"/>
      <c r="M4" s="28"/>
      <c r="N4" s="28"/>
      <c r="O4" s="28"/>
      <c r="P4" s="27"/>
    </row>
    <row r="5" spans="1:16">
      <c r="A5" s="18"/>
      <c r="B5" s="98" t="s">
        <v>72</v>
      </c>
      <c r="C5" s="98"/>
      <c r="D5" s="98"/>
      <c r="E5" s="98"/>
      <c r="F5" s="98"/>
      <c r="G5" s="98"/>
      <c r="H5" s="18"/>
      <c r="I5" s="18"/>
      <c r="J5" s="18"/>
      <c r="K5" s="18"/>
      <c r="L5" s="18"/>
      <c r="M5" s="18"/>
      <c r="N5" s="18"/>
      <c r="O5" s="18"/>
      <c r="P5" s="18"/>
    </row>
    <row r="6" spans="1:16">
      <c r="A6" s="18"/>
      <c r="B6" s="29" t="s">
        <v>51</v>
      </c>
      <c r="C6" s="30">
        <v>4</v>
      </c>
      <c r="D6" s="31"/>
      <c r="E6" s="18"/>
      <c r="F6" s="18"/>
      <c r="G6" s="18"/>
      <c r="H6" s="18"/>
      <c r="I6" s="18"/>
      <c r="J6" s="18"/>
      <c r="K6" s="18"/>
      <c r="L6" s="18"/>
      <c r="M6" s="18"/>
      <c r="N6" s="18"/>
      <c r="O6" s="18"/>
      <c r="P6" s="18"/>
    </row>
    <row r="7" spans="1:16">
      <c r="A7" s="18"/>
      <c r="B7" s="11" t="s">
        <v>3</v>
      </c>
      <c r="C7" s="23">
        <v>10</v>
      </c>
      <c r="D7" s="22" t="s">
        <v>14</v>
      </c>
      <c r="E7" s="18"/>
      <c r="F7" s="18"/>
      <c r="G7" s="18"/>
      <c r="H7" s="18"/>
      <c r="I7" s="18"/>
      <c r="J7" s="18"/>
      <c r="K7" s="18"/>
      <c r="L7" s="18"/>
      <c r="M7" s="18"/>
      <c r="N7" s="18"/>
      <c r="O7" s="18"/>
      <c r="P7" s="18"/>
    </row>
    <row r="8" spans="1:16">
      <c r="A8" s="18"/>
      <c r="B8" s="7" t="s">
        <v>1</v>
      </c>
      <c r="C8" s="23">
        <f>C7/2</f>
        <v>5</v>
      </c>
      <c r="D8" s="22" t="s">
        <v>14</v>
      </c>
      <c r="E8" s="18"/>
      <c r="F8" s="18"/>
      <c r="G8" s="18"/>
      <c r="H8" s="18"/>
      <c r="I8" s="18"/>
      <c r="J8" s="18"/>
      <c r="K8" s="18"/>
      <c r="L8" s="18"/>
      <c r="M8" s="18"/>
      <c r="N8" s="18"/>
      <c r="O8" s="18"/>
      <c r="P8" s="18"/>
    </row>
    <row r="9" spans="1:16">
      <c r="A9" s="18"/>
      <c r="B9" s="7" t="s">
        <v>4</v>
      </c>
      <c r="C9" s="23">
        <f>C7/(C8*C6)</f>
        <v>0.5</v>
      </c>
      <c r="D9" s="22"/>
      <c r="E9" s="18"/>
      <c r="F9" s="18"/>
      <c r="G9" s="18"/>
      <c r="H9" s="18"/>
      <c r="I9" s="18"/>
      <c r="J9" s="18"/>
      <c r="K9" s="18"/>
      <c r="L9" s="18"/>
      <c r="M9" s="18"/>
      <c r="N9" s="18"/>
      <c r="O9" s="18"/>
      <c r="P9" s="18"/>
    </row>
    <row r="10" spans="1:16" ht="15.6">
      <c r="A10" s="18"/>
      <c r="B10" s="7" t="s">
        <v>23</v>
      </c>
      <c r="C10" s="23">
        <f>1/((C7/C8)^0/FACT(0)+(C7/C8)^1/FACT(1)+(C7/C8)^2/FACT(2)+(C7/C8)^3/FACT(3)+((C7/C8)^C6/FACT(C6)*(C6*C8/(C6*C8-C7))))</f>
        <v>0.13043478260869565</v>
      </c>
      <c r="D10" s="22"/>
      <c r="E10" s="18"/>
      <c r="F10" s="18"/>
      <c r="G10" s="18"/>
      <c r="H10" s="18"/>
      <c r="I10" s="18"/>
      <c r="J10" s="18"/>
      <c r="K10" s="18"/>
      <c r="L10" s="18"/>
      <c r="M10" s="18"/>
      <c r="N10" s="18"/>
      <c r="O10" s="18"/>
      <c r="P10" s="18"/>
    </row>
    <row r="11" spans="1:16" ht="15.6">
      <c r="A11" s="18"/>
      <c r="B11" s="25" t="s">
        <v>73</v>
      </c>
      <c r="C11" s="23">
        <f>((C7*C8*(C7/C8)^C6)/(FACT(C6-1)*(C6*C8-C7)^2)*C10)</f>
        <v>0.17391304347826086</v>
      </c>
      <c r="D11" s="22"/>
      <c r="E11" s="18"/>
      <c r="F11" s="18"/>
      <c r="G11" s="18"/>
      <c r="H11" s="18"/>
      <c r="I11" s="18"/>
      <c r="J11" s="18"/>
      <c r="K11" s="18"/>
      <c r="L11" s="18"/>
      <c r="M11" s="18"/>
      <c r="N11" s="18"/>
      <c r="O11" s="18"/>
      <c r="P11" s="18"/>
    </row>
    <row r="12" spans="1:16">
      <c r="A12" s="18"/>
      <c r="B12" s="18"/>
      <c r="C12" s="18"/>
      <c r="D12" s="18"/>
      <c r="E12" s="18"/>
      <c r="F12" s="18"/>
      <c r="G12" s="18"/>
      <c r="H12" s="18"/>
      <c r="I12" s="18"/>
      <c r="J12" s="18"/>
      <c r="K12" s="18"/>
      <c r="L12" s="18"/>
      <c r="M12" s="18"/>
      <c r="N12" s="18"/>
      <c r="O12" s="18"/>
      <c r="P12" s="18"/>
    </row>
    <row r="13" spans="1:16">
      <c r="A13" s="18"/>
      <c r="B13" s="18"/>
      <c r="C13" s="18"/>
      <c r="D13" s="18"/>
      <c r="E13" s="18"/>
      <c r="F13" s="18"/>
      <c r="G13" s="18"/>
      <c r="H13" s="18"/>
      <c r="I13" s="18"/>
      <c r="J13" s="18"/>
      <c r="K13" s="18"/>
      <c r="L13" s="18"/>
      <c r="M13" s="18"/>
      <c r="N13" s="18"/>
      <c r="O13" s="18"/>
      <c r="P13" s="18"/>
    </row>
  </sheetData>
  <mergeCells count="2">
    <mergeCell ref="B2:O3"/>
    <mergeCell ref="B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24"/>
  <sheetViews>
    <sheetView workbookViewId="0">
      <selection activeCell="E17" sqref="E17"/>
    </sheetView>
  </sheetViews>
  <sheetFormatPr defaultRowHeight="14.4"/>
  <sheetData>
    <row r="1" spans="1:15">
      <c r="A1" s="8" t="s">
        <v>8</v>
      </c>
      <c r="B1" s="2"/>
      <c r="C1" s="1"/>
      <c r="D1" s="1"/>
      <c r="E1" s="1"/>
      <c r="F1" s="1"/>
      <c r="G1" s="1"/>
      <c r="H1" s="1"/>
      <c r="I1" s="1"/>
      <c r="J1" s="1"/>
      <c r="K1" s="1"/>
      <c r="L1" s="1"/>
      <c r="M1" s="1"/>
      <c r="N1" s="1"/>
      <c r="O1" s="1"/>
    </row>
    <row r="2" spans="1:15" ht="14.55" customHeight="1">
      <c r="A2" s="1"/>
      <c r="B2" s="1"/>
      <c r="C2" s="1"/>
      <c r="D2" s="1"/>
      <c r="E2" s="1"/>
      <c r="F2" s="1"/>
      <c r="G2" s="1"/>
      <c r="H2" s="1"/>
      <c r="I2" s="1"/>
      <c r="J2" s="1"/>
      <c r="K2" s="1"/>
      <c r="L2" s="1"/>
      <c r="M2" s="1"/>
      <c r="N2" s="1"/>
      <c r="O2" s="1"/>
    </row>
    <row r="3" spans="1:15">
      <c r="A3" s="91" t="s">
        <v>27</v>
      </c>
      <c r="B3" s="77"/>
      <c r="C3" s="77"/>
      <c r="D3" s="77"/>
      <c r="E3" s="77"/>
      <c r="F3" s="77"/>
      <c r="G3" s="77"/>
      <c r="H3" s="77"/>
      <c r="I3" s="77"/>
      <c r="J3" s="77"/>
      <c r="K3" s="77"/>
      <c r="L3" s="77"/>
      <c r="M3" s="77"/>
      <c r="N3" s="78"/>
      <c r="O3" s="3"/>
    </row>
    <row r="4" spans="1:15">
      <c r="A4" s="82"/>
      <c r="B4" s="83"/>
      <c r="C4" s="83"/>
      <c r="D4" s="83"/>
      <c r="E4" s="83"/>
      <c r="F4" s="83"/>
      <c r="G4" s="83"/>
      <c r="H4" s="83"/>
      <c r="I4" s="83"/>
      <c r="J4" s="83"/>
      <c r="K4" s="83"/>
      <c r="L4" s="83"/>
      <c r="M4" s="83"/>
      <c r="N4" s="81"/>
      <c r="O4" s="3"/>
    </row>
    <row r="5" spans="1:15">
      <c r="A5" s="82"/>
      <c r="B5" s="83"/>
      <c r="C5" s="83"/>
      <c r="D5" s="83"/>
      <c r="E5" s="83"/>
      <c r="F5" s="83"/>
      <c r="G5" s="83"/>
      <c r="H5" s="83"/>
      <c r="I5" s="83"/>
      <c r="J5" s="83"/>
      <c r="K5" s="83"/>
      <c r="L5" s="83"/>
      <c r="M5" s="83"/>
      <c r="N5" s="81"/>
      <c r="O5" s="3"/>
    </row>
    <row r="6" spans="1:15">
      <c r="A6" s="82" t="s">
        <v>28</v>
      </c>
      <c r="B6" s="83"/>
      <c r="C6" s="83"/>
      <c r="D6" s="83"/>
      <c r="E6" s="83"/>
      <c r="F6" s="83"/>
      <c r="G6" s="83"/>
      <c r="H6" s="83"/>
      <c r="I6" s="83"/>
      <c r="J6" s="83"/>
      <c r="K6" s="83"/>
      <c r="L6" s="83"/>
      <c r="M6" s="83"/>
      <c r="N6" s="81"/>
      <c r="O6" s="3"/>
    </row>
    <row r="7" spans="1:15">
      <c r="A7" s="92" t="s">
        <v>29</v>
      </c>
      <c r="B7" s="85"/>
      <c r="C7" s="85"/>
      <c r="D7" s="85"/>
      <c r="E7" s="85"/>
      <c r="F7" s="85"/>
      <c r="G7" s="85"/>
      <c r="H7" s="85"/>
      <c r="I7" s="85"/>
      <c r="J7" s="85"/>
      <c r="K7" s="85"/>
      <c r="L7" s="85"/>
      <c r="M7" s="85"/>
      <c r="N7" s="86"/>
      <c r="O7" s="3"/>
    </row>
    <row r="8" spans="1:15">
      <c r="A8" s="1"/>
      <c r="B8" s="1"/>
      <c r="C8" s="1"/>
      <c r="D8" s="1"/>
      <c r="E8" s="1"/>
      <c r="F8" s="1"/>
      <c r="G8" s="1"/>
      <c r="H8" s="1"/>
      <c r="I8" s="1"/>
      <c r="J8" s="1"/>
      <c r="K8" s="1"/>
      <c r="L8" s="1"/>
      <c r="M8" s="1"/>
      <c r="N8" s="1"/>
      <c r="O8" s="1"/>
    </row>
    <row r="9" spans="1:15">
      <c r="A9" s="4" t="s">
        <v>1</v>
      </c>
      <c r="B9" s="6">
        <v>2</v>
      </c>
      <c r="C9" s="6" t="s">
        <v>30</v>
      </c>
      <c r="D9" s="1"/>
      <c r="E9" s="1"/>
      <c r="F9" s="1"/>
      <c r="G9" s="1"/>
      <c r="H9" s="1"/>
      <c r="I9" s="1"/>
      <c r="J9" s="1"/>
      <c r="K9" s="1"/>
      <c r="L9" s="1"/>
      <c r="M9" s="1"/>
      <c r="N9" s="1"/>
      <c r="O9" s="1"/>
    </row>
    <row r="10" spans="1:15">
      <c r="A10" s="7" t="s">
        <v>3</v>
      </c>
      <c r="B10" s="6">
        <v>3</v>
      </c>
      <c r="C10" s="6" t="s">
        <v>30</v>
      </c>
      <c r="D10" s="1"/>
      <c r="E10" s="1"/>
      <c r="F10" s="1"/>
      <c r="G10" s="1"/>
      <c r="H10" s="1"/>
      <c r="I10" s="1"/>
      <c r="J10" s="1"/>
      <c r="K10" s="1"/>
      <c r="L10" s="1"/>
      <c r="M10" s="1"/>
      <c r="N10" s="1"/>
      <c r="O10" s="1"/>
    </row>
    <row r="11" spans="1:15">
      <c r="A11" s="7" t="s">
        <v>4</v>
      </c>
      <c r="B11" s="6">
        <f>B10/B9</f>
        <v>1.5</v>
      </c>
      <c r="C11" s="6"/>
      <c r="D11" s="1"/>
      <c r="E11" s="1"/>
      <c r="F11" s="1"/>
      <c r="G11" s="1"/>
      <c r="H11" s="1"/>
      <c r="I11" s="1"/>
      <c r="J11" s="1"/>
      <c r="K11" s="1"/>
      <c r="L11" s="1"/>
      <c r="M11" s="1"/>
      <c r="N11" s="1"/>
      <c r="O11" s="1"/>
    </row>
    <row r="12" spans="1:15" ht="15.6">
      <c r="A12" s="101" t="s">
        <v>31</v>
      </c>
      <c r="B12" s="102"/>
      <c r="C12" s="103"/>
      <c r="D12" s="1"/>
      <c r="E12" s="1"/>
      <c r="F12" s="1"/>
      <c r="G12" s="1"/>
      <c r="H12" s="1"/>
      <c r="I12" s="1"/>
      <c r="J12" s="1"/>
      <c r="K12" s="1"/>
      <c r="L12" s="1"/>
      <c r="M12" s="1"/>
      <c r="N12" s="1"/>
      <c r="O12" s="1"/>
    </row>
    <row r="13" spans="1:15">
      <c r="A13" s="1"/>
      <c r="B13" s="1"/>
      <c r="C13" s="1"/>
      <c r="D13" s="1"/>
      <c r="E13" s="1"/>
      <c r="F13" s="1"/>
      <c r="G13" s="1"/>
      <c r="H13" s="1"/>
      <c r="I13" s="1"/>
      <c r="J13" s="1"/>
      <c r="K13" s="1"/>
      <c r="L13" s="1"/>
      <c r="M13" s="1"/>
      <c r="N13" s="1"/>
      <c r="O13" s="1"/>
    </row>
    <row r="14" spans="1:15" ht="15.6">
      <c r="A14" s="6">
        <v>0</v>
      </c>
      <c r="B14" s="6" t="s">
        <v>23</v>
      </c>
      <c r="C14" s="6">
        <f>(EXP(-$B$10)*$B$10^A14)/FACT(A14)</f>
        <v>4.9787068367863944E-2</v>
      </c>
      <c r="D14" s="1"/>
      <c r="E14" s="1"/>
      <c r="F14" s="1"/>
      <c r="G14" s="1"/>
      <c r="H14" s="1"/>
      <c r="I14" s="1"/>
      <c r="J14" s="1"/>
      <c r="K14" s="1"/>
      <c r="L14" s="1"/>
      <c r="M14" s="1"/>
      <c r="N14" s="1"/>
      <c r="O14" s="1"/>
    </row>
    <row r="15" spans="1:15" ht="15.6">
      <c r="A15" s="6">
        <v>1</v>
      </c>
      <c r="B15" s="6" t="s">
        <v>32</v>
      </c>
      <c r="C15" s="6">
        <f t="shared" ref="C15:C18" si="0">(EXP(-$B$10)*$B$10^A15)/FACT(A15)</f>
        <v>0.14936120510359183</v>
      </c>
      <c r="D15" s="1"/>
      <c r="E15" s="1"/>
      <c r="F15" s="1"/>
      <c r="G15" s="1"/>
      <c r="H15" s="1"/>
      <c r="I15" s="1"/>
      <c r="J15" s="1"/>
      <c r="K15" s="1"/>
      <c r="L15" s="1"/>
      <c r="M15" s="1"/>
      <c r="N15" s="1"/>
      <c r="O15" s="1"/>
    </row>
    <row r="16" spans="1:15" ht="15.6">
      <c r="A16" s="6">
        <v>2</v>
      </c>
      <c r="B16" s="6" t="s">
        <v>33</v>
      </c>
      <c r="C16" s="6">
        <f t="shared" si="0"/>
        <v>0.22404180765538775</v>
      </c>
      <c r="D16" s="1"/>
      <c r="E16" s="1"/>
      <c r="F16" s="1"/>
      <c r="G16" s="1"/>
      <c r="H16" s="1"/>
      <c r="I16" s="1"/>
      <c r="J16" s="1"/>
      <c r="K16" s="1"/>
      <c r="L16" s="1"/>
      <c r="M16" s="1"/>
      <c r="N16" s="1"/>
      <c r="O16" s="1"/>
    </row>
    <row r="17" spans="1:15" ht="15.6">
      <c r="A17" s="6">
        <v>3</v>
      </c>
      <c r="B17" s="6" t="s">
        <v>34</v>
      </c>
      <c r="C17" s="6">
        <f t="shared" si="0"/>
        <v>0.22404180765538775</v>
      </c>
      <c r="D17" s="1"/>
      <c r="E17" s="1"/>
      <c r="F17" s="1"/>
      <c r="G17" s="1"/>
      <c r="H17" s="1"/>
      <c r="I17" s="1"/>
      <c r="J17" s="1"/>
      <c r="K17" s="1"/>
      <c r="L17" s="1"/>
      <c r="M17" s="1"/>
      <c r="N17" s="1"/>
      <c r="O17" s="1"/>
    </row>
    <row r="18" spans="1:15" ht="15.6">
      <c r="A18" s="6">
        <v>4</v>
      </c>
      <c r="B18" s="6" t="s">
        <v>35</v>
      </c>
      <c r="C18" s="6">
        <f t="shared" si="0"/>
        <v>0.16803135574154082</v>
      </c>
      <c r="D18" s="1"/>
      <c r="E18" s="1"/>
      <c r="F18" s="1"/>
      <c r="G18" s="1"/>
      <c r="H18" s="1"/>
      <c r="I18" s="1"/>
      <c r="J18" s="1"/>
      <c r="K18" s="1"/>
      <c r="L18" s="1"/>
      <c r="M18" s="1"/>
      <c r="N18" s="1"/>
      <c r="O18" s="1"/>
    </row>
    <row r="19" spans="1:15">
      <c r="A19" s="104" t="s">
        <v>36</v>
      </c>
      <c r="B19" s="105"/>
      <c r="C19" s="7">
        <f>SUM(C14:C18)</f>
        <v>0.81526324452377208</v>
      </c>
      <c r="D19" s="1"/>
      <c r="E19" s="1"/>
      <c r="F19" s="1"/>
      <c r="G19" s="1"/>
      <c r="H19" s="1"/>
      <c r="I19" s="1"/>
      <c r="J19" s="1"/>
      <c r="K19" s="1"/>
      <c r="L19" s="1"/>
      <c r="M19" s="1"/>
      <c r="N19" s="1"/>
      <c r="O19" s="1"/>
    </row>
    <row r="20" spans="1:15">
      <c r="A20" s="1"/>
      <c r="B20" s="1"/>
      <c r="C20" s="1"/>
      <c r="D20" s="1"/>
      <c r="E20" s="1"/>
      <c r="F20" s="1"/>
      <c r="G20" s="1"/>
      <c r="H20" s="1"/>
      <c r="I20" s="1"/>
      <c r="J20" s="1"/>
      <c r="K20" s="1"/>
      <c r="L20" s="1"/>
      <c r="M20" s="1"/>
      <c r="N20" s="1"/>
      <c r="O20" s="1"/>
    </row>
    <row r="21" spans="1:15">
      <c r="A21" s="99" t="s">
        <v>37</v>
      </c>
      <c r="B21" s="99"/>
      <c r="C21" s="99"/>
      <c r="D21" s="99"/>
      <c r="E21" s="5">
        <f>B11</f>
        <v>1.5</v>
      </c>
      <c r="F21" s="1"/>
      <c r="G21" s="1"/>
      <c r="H21" s="1"/>
      <c r="I21" s="1"/>
      <c r="J21" s="1"/>
      <c r="K21" s="1"/>
      <c r="L21" s="1"/>
      <c r="M21" s="1"/>
      <c r="N21" s="1"/>
      <c r="O21" s="1"/>
    </row>
    <row r="22" spans="1:15">
      <c r="A22" s="100" t="s">
        <v>38</v>
      </c>
      <c r="B22" s="100"/>
      <c r="C22" s="100"/>
      <c r="D22" s="100"/>
      <c r="E22" s="17">
        <f>1-C19</f>
        <v>0.18473675547622792</v>
      </c>
      <c r="F22" s="1"/>
      <c r="G22" s="1"/>
      <c r="H22" s="1"/>
      <c r="I22" s="1"/>
      <c r="J22" s="1"/>
      <c r="K22" s="1"/>
      <c r="L22" s="1"/>
      <c r="M22" s="1"/>
      <c r="N22" s="1"/>
      <c r="O22" s="1"/>
    </row>
    <row r="23" spans="1:15">
      <c r="A23" s="1"/>
      <c r="B23" s="1"/>
      <c r="C23" s="1"/>
      <c r="D23" s="1"/>
      <c r="E23" s="1"/>
      <c r="F23" s="1"/>
      <c r="G23" s="1"/>
      <c r="H23" s="1"/>
      <c r="I23" s="1"/>
      <c r="J23" s="1"/>
      <c r="K23" s="1"/>
      <c r="L23" s="1"/>
      <c r="M23" s="1"/>
      <c r="N23" s="1"/>
      <c r="O23" s="1"/>
    </row>
    <row r="24" spans="1:15">
      <c r="A24" s="1"/>
      <c r="B24" s="1"/>
      <c r="C24" s="1"/>
      <c r="D24" s="1"/>
      <c r="E24" s="1"/>
      <c r="F24" s="1"/>
      <c r="G24" s="1"/>
      <c r="H24" s="1"/>
      <c r="I24" s="1"/>
      <c r="J24" s="1"/>
      <c r="K24" s="1"/>
      <c r="L24" s="1"/>
      <c r="M24" s="1"/>
      <c r="N24" s="1"/>
      <c r="O24" s="1"/>
    </row>
  </sheetData>
  <mergeCells count="7">
    <mergeCell ref="A21:D21"/>
    <mergeCell ref="A22:D22"/>
    <mergeCell ref="A3:N5"/>
    <mergeCell ref="A6:N6"/>
    <mergeCell ref="A7:N7"/>
    <mergeCell ref="A12:C12"/>
    <mergeCell ref="A19:B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23"/>
  <sheetViews>
    <sheetView workbookViewId="0">
      <selection activeCell="H13" sqref="H13"/>
    </sheetView>
  </sheetViews>
  <sheetFormatPr defaultRowHeight="14.4"/>
  <sheetData>
    <row r="1" spans="1:11">
      <c r="A1" t="s">
        <v>96</v>
      </c>
    </row>
    <row r="2" spans="1:11">
      <c r="A2" s="18"/>
      <c r="B2" s="18"/>
      <c r="C2" s="18"/>
      <c r="D2" s="18"/>
      <c r="E2" s="18"/>
      <c r="F2" s="18"/>
      <c r="G2" s="18"/>
      <c r="H2" s="18"/>
      <c r="I2" s="18"/>
      <c r="J2" s="18"/>
      <c r="K2" s="18"/>
    </row>
    <row r="3" spans="1:11">
      <c r="A3" s="1"/>
      <c r="B3" s="91" t="s">
        <v>75</v>
      </c>
      <c r="C3" s="77"/>
      <c r="D3" s="77"/>
      <c r="E3" s="77"/>
      <c r="F3" s="77"/>
      <c r="G3" s="77"/>
      <c r="H3" s="77"/>
      <c r="I3" s="77"/>
      <c r="J3" s="78"/>
      <c r="K3" s="1"/>
    </row>
    <row r="4" spans="1:11">
      <c r="A4" s="1"/>
      <c r="B4" s="111" t="s">
        <v>76</v>
      </c>
      <c r="C4" s="80"/>
      <c r="D4" s="80"/>
      <c r="E4" s="80"/>
      <c r="F4" s="80"/>
      <c r="G4" s="80"/>
      <c r="H4" s="80"/>
      <c r="I4" s="80"/>
      <c r="J4" s="81"/>
      <c r="K4" s="1"/>
    </row>
    <row r="5" spans="1:11">
      <c r="A5" s="1"/>
      <c r="B5" s="82" t="s">
        <v>77</v>
      </c>
      <c r="C5" s="80"/>
      <c r="D5" s="80"/>
      <c r="E5" s="80"/>
      <c r="F5" s="80"/>
      <c r="G5" s="80"/>
      <c r="H5" s="80"/>
      <c r="I5" s="80"/>
      <c r="J5" s="81"/>
      <c r="K5" s="1"/>
    </row>
    <row r="6" spans="1:11">
      <c r="A6" s="1"/>
      <c r="B6" s="82" t="s">
        <v>78</v>
      </c>
      <c r="C6" s="80"/>
      <c r="D6" s="80"/>
      <c r="E6" s="80"/>
      <c r="F6" s="80"/>
      <c r="G6" s="80"/>
      <c r="H6" s="80"/>
      <c r="I6" s="80"/>
      <c r="J6" s="81"/>
      <c r="K6" s="1"/>
    </row>
    <row r="7" spans="1:11">
      <c r="A7" s="1"/>
      <c r="B7" s="92" t="s">
        <v>79</v>
      </c>
      <c r="C7" s="85"/>
      <c r="D7" s="85"/>
      <c r="E7" s="85"/>
      <c r="F7" s="85"/>
      <c r="G7" s="85"/>
      <c r="H7" s="85"/>
      <c r="I7" s="85"/>
      <c r="J7" s="86"/>
      <c r="K7" s="1"/>
    </row>
    <row r="8" spans="1:11">
      <c r="A8" s="1"/>
      <c r="B8" s="1"/>
      <c r="C8" s="1"/>
      <c r="D8" s="1"/>
      <c r="E8" s="1"/>
      <c r="F8" s="1"/>
      <c r="G8" s="1"/>
      <c r="H8" s="1"/>
      <c r="I8" s="1"/>
      <c r="J8" s="1"/>
      <c r="K8" s="1"/>
    </row>
    <row r="9" spans="1:11">
      <c r="A9" s="18"/>
      <c r="B9" s="18"/>
      <c r="C9" s="112" t="s">
        <v>80</v>
      </c>
      <c r="D9" s="112"/>
      <c r="E9" s="112"/>
      <c r="F9" s="112"/>
      <c r="G9" s="112"/>
      <c r="H9" s="112"/>
      <c r="I9" s="18"/>
      <c r="J9" s="18"/>
      <c r="K9" s="18"/>
    </row>
    <row r="10" spans="1:11">
      <c r="A10" s="18"/>
      <c r="B10" s="18"/>
      <c r="C10" s="106" t="s">
        <v>81</v>
      </c>
      <c r="D10" s="106"/>
      <c r="E10" s="106"/>
      <c r="F10" s="18"/>
      <c r="G10" s="18"/>
      <c r="H10" s="18"/>
      <c r="I10" s="18"/>
      <c r="J10" s="18"/>
      <c r="K10" s="18"/>
    </row>
    <row r="11" spans="1:11">
      <c r="A11" s="18"/>
      <c r="B11" s="18"/>
      <c r="C11" s="107" t="s">
        <v>82</v>
      </c>
      <c r="D11" s="107"/>
      <c r="E11" s="107"/>
      <c r="F11" s="18"/>
      <c r="G11" s="18"/>
      <c r="H11" s="18"/>
      <c r="I11" s="18"/>
      <c r="J11" s="18"/>
      <c r="K11" s="18"/>
    </row>
    <row r="12" spans="1:11">
      <c r="A12" s="18"/>
      <c r="B12" s="18"/>
      <c r="C12" s="107" t="s">
        <v>83</v>
      </c>
      <c r="D12" s="107"/>
      <c r="E12" s="107"/>
      <c r="F12" s="18"/>
      <c r="G12" s="18"/>
      <c r="H12" s="18"/>
      <c r="I12" s="18"/>
      <c r="J12" s="18"/>
      <c r="K12" s="18"/>
    </row>
    <row r="13" spans="1:11">
      <c r="A13" s="18"/>
      <c r="B13" s="18"/>
      <c r="C13" s="32" t="s">
        <v>84</v>
      </c>
      <c r="D13" s="22">
        <f>2.5*10^(-5)</f>
        <v>2.5000000000000001E-5</v>
      </c>
      <c r="E13" s="22" t="s">
        <v>85</v>
      </c>
      <c r="F13" s="18"/>
      <c r="G13" s="18"/>
      <c r="H13" s="18"/>
      <c r="I13" s="18"/>
      <c r="J13" s="18"/>
      <c r="K13" s="18"/>
    </row>
    <row r="14" spans="1:11">
      <c r="A14" s="18"/>
      <c r="B14" s="18"/>
      <c r="C14" s="18"/>
      <c r="D14" s="18"/>
      <c r="E14" s="18"/>
      <c r="F14" s="18"/>
      <c r="G14" s="18"/>
      <c r="H14" s="18"/>
      <c r="I14" s="18"/>
      <c r="J14" s="18"/>
      <c r="K14" s="18"/>
    </row>
    <row r="15" spans="1:11">
      <c r="A15" s="18"/>
      <c r="B15" s="18"/>
      <c r="C15" s="108" t="s">
        <v>86</v>
      </c>
      <c r="D15" s="22">
        <v>2</v>
      </c>
      <c r="E15" s="22" t="s">
        <v>87</v>
      </c>
      <c r="F15" s="18"/>
      <c r="G15" s="18"/>
      <c r="H15" s="18"/>
      <c r="I15" s="18"/>
      <c r="J15" s="18"/>
      <c r="K15" s="18"/>
    </row>
    <row r="16" spans="1:11">
      <c r="A16" s="18"/>
      <c r="B16" s="18"/>
      <c r="C16" s="109"/>
      <c r="D16" s="22">
        <v>60</v>
      </c>
      <c r="E16" s="22" t="s">
        <v>88</v>
      </c>
      <c r="F16" s="18"/>
      <c r="G16" s="18"/>
      <c r="H16" s="18"/>
      <c r="I16" s="18"/>
      <c r="J16" s="18"/>
      <c r="K16" s="18"/>
    </row>
    <row r="17" spans="1:11">
      <c r="A17" s="18"/>
      <c r="B17" s="18"/>
      <c r="C17" s="110"/>
      <c r="D17" s="22">
        <v>1440</v>
      </c>
      <c r="E17" s="22" t="s">
        <v>89</v>
      </c>
      <c r="F17" s="18"/>
      <c r="G17" s="18"/>
      <c r="H17" s="18"/>
      <c r="I17" s="18"/>
      <c r="J17" s="18"/>
      <c r="K17" s="18"/>
    </row>
    <row r="18" spans="1:11">
      <c r="A18" s="18"/>
      <c r="B18" s="19" t="s">
        <v>90</v>
      </c>
      <c r="C18" s="33" t="s">
        <v>91</v>
      </c>
      <c r="D18" s="33">
        <f>1-(1-EXP(-D13*D17))</f>
        <v>0.96464029348312308</v>
      </c>
      <c r="E18" s="22"/>
      <c r="F18" s="18"/>
      <c r="G18" s="18"/>
      <c r="H18" s="18"/>
      <c r="I18" s="18"/>
      <c r="J18" s="18"/>
      <c r="K18" s="18"/>
    </row>
    <row r="19" spans="1:11">
      <c r="A19" s="18"/>
      <c r="B19" s="19" t="s">
        <v>92</v>
      </c>
      <c r="C19" s="33" t="s">
        <v>93</v>
      </c>
      <c r="D19" s="33">
        <f>1/D13</f>
        <v>40000</v>
      </c>
      <c r="E19" s="22"/>
      <c r="F19" s="18"/>
      <c r="G19" s="34"/>
      <c r="H19" s="34"/>
      <c r="I19" s="18"/>
      <c r="J19" s="18"/>
      <c r="K19" s="18"/>
    </row>
    <row r="20" spans="1:11">
      <c r="A20" s="18"/>
      <c r="B20" s="19" t="s">
        <v>94</v>
      </c>
      <c r="C20" s="33" t="s">
        <v>95</v>
      </c>
      <c r="D20" s="33">
        <f>1-(1-EXP(-D13*D19))</f>
        <v>0.36787944117144233</v>
      </c>
      <c r="E20" s="22"/>
      <c r="F20" s="18"/>
      <c r="G20" s="34"/>
      <c r="H20" s="34"/>
      <c r="I20" s="18"/>
      <c r="J20" s="18"/>
      <c r="K20" s="18"/>
    </row>
    <row r="21" spans="1:11">
      <c r="A21" s="18"/>
      <c r="B21" s="18"/>
      <c r="C21" s="18"/>
      <c r="D21" s="18"/>
      <c r="E21" s="18"/>
      <c r="F21" s="34"/>
      <c r="G21" s="34"/>
      <c r="H21" s="18"/>
      <c r="I21" s="18"/>
      <c r="J21" s="18"/>
      <c r="K21" s="18"/>
    </row>
    <row r="22" spans="1:11">
      <c r="A22" s="18"/>
      <c r="B22" s="18"/>
      <c r="C22" s="18"/>
      <c r="D22" s="18"/>
      <c r="E22" s="18"/>
      <c r="F22" s="34"/>
      <c r="G22" s="34"/>
      <c r="H22" s="18"/>
      <c r="I22" s="18"/>
      <c r="J22" s="18"/>
      <c r="K22" s="18"/>
    </row>
    <row r="23" spans="1:11">
      <c r="A23" s="18"/>
      <c r="B23" s="18"/>
      <c r="C23" s="18"/>
      <c r="D23" s="18"/>
      <c r="E23" s="18"/>
      <c r="F23" s="34"/>
      <c r="G23" s="34"/>
      <c r="H23" s="18"/>
      <c r="I23" s="18"/>
      <c r="J23" s="18"/>
      <c r="K23" s="18"/>
    </row>
  </sheetData>
  <mergeCells count="10">
    <mergeCell ref="C10:E10"/>
    <mergeCell ref="C11:E11"/>
    <mergeCell ref="C12:E12"/>
    <mergeCell ref="C15:C17"/>
    <mergeCell ref="B3:J3"/>
    <mergeCell ref="B4:J4"/>
    <mergeCell ref="B5:J5"/>
    <mergeCell ref="B6:J6"/>
    <mergeCell ref="B7:J7"/>
    <mergeCell ref="C9:H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22"/>
  <sheetViews>
    <sheetView workbookViewId="0"/>
  </sheetViews>
  <sheetFormatPr defaultRowHeight="14.4"/>
  <sheetData>
    <row r="1" spans="1:14">
      <c r="A1" t="s">
        <v>107</v>
      </c>
    </row>
    <row r="3" spans="1:14">
      <c r="A3" s="18"/>
      <c r="B3" s="18"/>
      <c r="C3" s="18"/>
      <c r="D3" s="18"/>
      <c r="E3" s="18"/>
      <c r="F3" s="18"/>
      <c r="G3" s="18"/>
      <c r="H3" s="18"/>
      <c r="I3" s="18"/>
      <c r="J3" s="18"/>
      <c r="K3" s="18"/>
      <c r="L3" s="18"/>
      <c r="M3" s="18"/>
      <c r="N3" s="18"/>
    </row>
    <row r="4" spans="1:14">
      <c r="A4" s="1"/>
      <c r="B4" s="91" t="s">
        <v>97</v>
      </c>
      <c r="C4" s="77"/>
      <c r="D4" s="77"/>
      <c r="E4" s="77"/>
      <c r="F4" s="77"/>
      <c r="G4" s="77"/>
      <c r="H4" s="77"/>
      <c r="I4" s="77"/>
      <c r="J4" s="77"/>
      <c r="K4" s="77"/>
      <c r="L4" s="77"/>
      <c r="M4" s="78"/>
      <c r="N4" s="1"/>
    </row>
    <row r="5" spans="1:14">
      <c r="A5" s="1"/>
      <c r="B5" s="82" t="s">
        <v>98</v>
      </c>
      <c r="C5" s="80"/>
      <c r="D5" s="80"/>
      <c r="E5" s="80"/>
      <c r="F5" s="80"/>
      <c r="G5" s="80"/>
      <c r="H5" s="80"/>
      <c r="I5" s="80"/>
      <c r="J5" s="80"/>
      <c r="K5" s="80"/>
      <c r="L5" s="80"/>
      <c r="M5" s="81"/>
      <c r="N5" s="1"/>
    </row>
    <row r="6" spans="1:14">
      <c r="A6" s="1"/>
      <c r="B6" s="82" t="s">
        <v>99</v>
      </c>
      <c r="C6" s="80"/>
      <c r="D6" s="80"/>
      <c r="E6" s="80"/>
      <c r="F6" s="80"/>
      <c r="G6" s="80"/>
      <c r="H6" s="80"/>
      <c r="I6" s="80"/>
      <c r="J6" s="80"/>
      <c r="K6" s="80"/>
      <c r="L6" s="80"/>
      <c r="M6" s="81"/>
      <c r="N6" s="1"/>
    </row>
    <row r="7" spans="1:14">
      <c r="A7" s="1"/>
      <c r="B7" s="92" t="s">
        <v>100</v>
      </c>
      <c r="C7" s="85"/>
      <c r="D7" s="85"/>
      <c r="E7" s="85"/>
      <c r="F7" s="85"/>
      <c r="G7" s="85"/>
      <c r="H7" s="85"/>
      <c r="I7" s="85"/>
      <c r="J7" s="85"/>
      <c r="K7" s="85"/>
      <c r="L7" s="85"/>
      <c r="M7" s="86"/>
      <c r="N7" s="1"/>
    </row>
    <row r="8" spans="1:14">
      <c r="A8" s="1"/>
      <c r="B8" s="35"/>
      <c r="C8" s="35"/>
      <c r="D8" s="35"/>
      <c r="E8" s="35"/>
      <c r="F8" s="35"/>
      <c r="G8" s="1"/>
      <c r="H8" s="1"/>
      <c r="I8" s="1"/>
      <c r="J8" s="1"/>
      <c r="K8" s="1"/>
      <c r="L8" s="1"/>
      <c r="M8" s="1"/>
      <c r="N8" s="1"/>
    </row>
    <row r="9" spans="1:14">
      <c r="A9" s="18"/>
      <c r="B9" s="18"/>
      <c r="C9" s="112" t="s">
        <v>80</v>
      </c>
      <c r="D9" s="112"/>
      <c r="E9" s="112"/>
      <c r="F9" s="112"/>
      <c r="G9" s="112"/>
      <c r="H9" s="112"/>
      <c r="I9" s="18"/>
      <c r="J9" s="18"/>
      <c r="K9" s="18"/>
      <c r="L9" s="18"/>
      <c r="M9" s="18"/>
      <c r="N9" s="18"/>
    </row>
    <row r="10" spans="1:14">
      <c r="A10" s="18"/>
      <c r="B10" s="18"/>
      <c r="C10" s="106" t="s">
        <v>81</v>
      </c>
      <c r="D10" s="106"/>
      <c r="E10" s="106"/>
      <c r="F10" s="18"/>
      <c r="G10" s="18"/>
      <c r="H10" s="18"/>
      <c r="I10" s="18"/>
      <c r="J10" s="18"/>
      <c r="K10" s="18"/>
      <c r="L10" s="18"/>
      <c r="M10" s="18"/>
      <c r="N10" s="18"/>
    </row>
    <row r="11" spans="1:14">
      <c r="A11" s="18"/>
      <c r="B11" s="18"/>
      <c r="C11" s="107" t="s">
        <v>82</v>
      </c>
      <c r="D11" s="107"/>
      <c r="E11" s="107"/>
      <c r="F11" s="18"/>
      <c r="G11" s="18"/>
      <c r="H11" s="18"/>
      <c r="I11" s="18"/>
      <c r="J11" s="18"/>
      <c r="K11" s="18"/>
      <c r="L11" s="18"/>
      <c r="M11" s="18"/>
      <c r="N11" s="18"/>
    </row>
    <row r="12" spans="1:14">
      <c r="A12" s="18"/>
      <c r="B12" s="18"/>
      <c r="C12" s="107" t="s">
        <v>83</v>
      </c>
      <c r="D12" s="107"/>
      <c r="E12" s="107"/>
      <c r="F12" s="18"/>
      <c r="G12" s="18"/>
      <c r="H12" s="18"/>
      <c r="I12" s="18"/>
      <c r="J12" s="18"/>
      <c r="K12" s="18"/>
      <c r="L12" s="18"/>
      <c r="M12" s="18"/>
      <c r="N12" s="18"/>
    </row>
    <row r="13" spans="1:14">
      <c r="A13" s="18"/>
      <c r="B13" s="18"/>
      <c r="C13" s="32" t="s">
        <v>84</v>
      </c>
      <c r="D13" s="22">
        <f>2.5*10^(-5)</f>
        <v>2.5000000000000001E-5</v>
      </c>
      <c r="E13" s="22" t="s">
        <v>85</v>
      </c>
      <c r="F13" s="18"/>
      <c r="G13" s="18"/>
      <c r="H13" s="18"/>
      <c r="I13" s="18"/>
      <c r="J13" s="18"/>
      <c r="K13" s="18"/>
      <c r="L13" s="18"/>
      <c r="M13" s="18"/>
      <c r="N13" s="18"/>
    </row>
    <row r="14" spans="1:14">
      <c r="A14" s="36"/>
      <c r="B14" s="36"/>
      <c r="C14" s="37"/>
      <c r="D14" s="38"/>
      <c r="E14" s="38"/>
      <c r="F14" s="36"/>
      <c r="G14" s="36"/>
      <c r="H14" s="36"/>
      <c r="I14" s="36"/>
      <c r="J14" s="36"/>
      <c r="K14" s="36"/>
      <c r="L14" s="36"/>
      <c r="M14" s="36"/>
      <c r="N14" s="36"/>
    </row>
    <row r="15" spans="1:14">
      <c r="A15" s="18"/>
      <c r="B15" s="19" t="s">
        <v>90</v>
      </c>
      <c r="C15" s="113" t="s">
        <v>101</v>
      </c>
      <c r="D15" s="114"/>
      <c r="E15" s="115"/>
      <c r="F15" s="18"/>
      <c r="G15" s="18"/>
      <c r="H15" s="18"/>
      <c r="I15" s="18"/>
      <c r="J15" s="18"/>
      <c r="K15" s="18"/>
      <c r="L15" s="18"/>
      <c r="M15" s="18"/>
      <c r="N15" s="18"/>
    </row>
    <row r="16" spans="1:14">
      <c r="A16" s="18"/>
      <c r="B16" s="19"/>
      <c r="C16" s="32" t="s">
        <v>84</v>
      </c>
      <c r="D16" s="33">
        <v>6.9310559206884814E-3</v>
      </c>
      <c r="E16" s="22"/>
      <c r="F16" s="18"/>
      <c r="G16" s="18"/>
      <c r="H16" s="18"/>
      <c r="I16" s="18"/>
      <c r="J16" s="18"/>
      <c r="K16" s="18"/>
      <c r="L16" s="18"/>
      <c r="M16" s="18"/>
      <c r="N16" s="18"/>
    </row>
    <row r="17" spans="1:14">
      <c r="A17" s="18"/>
      <c r="B17" s="19"/>
      <c r="C17" s="22" t="s">
        <v>102</v>
      </c>
      <c r="D17" s="22">
        <v>0.5</v>
      </c>
      <c r="E17" s="22">
        <f>1-(1-EXP(-100*D16))</f>
        <v>0.50002079467795524</v>
      </c>
      <c r="F17" s="18"/>
      <c r="G17" s="18"/>
      <c r="H17" s="18"/>
      <c r="I17" s="18"/>
      <c r="J17" s="18"/>
      <c r="K17" s="18"/>
      <c r="L17" s="18"/>
      <c r="M17" s="18"/>
      <c r="N17" s="18"/>
    </row>
    <row r="18" spans="1:14">
      <c r="A18" s="18"/>
      <c r="B18" s="19" t="s">
        <v>92</v>
      </c>
      <c r="C18" s="33" t="s">
        <v>103</v>
      </c>
      <c r="D18" s="33">
        <f>1-(1-EXP(-500*D16))</f>
        <v>3.125649887740678E-2</v>
      </c>
      <c r="E18" s="22"/>
      <c r="F18" s="18"/>
      <c r="G18" s="18"/>
      <c r="H18" s="18"/>
      <c r="I18" s="18"/>
      <c r="J18" s="18"/>
      <c r="K18" s="18"/>
      <c r="L18" s="18"/>
      <c r="M18" s="18"/>
      <c r="N18" s="18"/>
    </row>
    <row r="19" spans="1:14">
      <c r="A19" s="18"/>
      <c r="B19" s="39" t="s">
        <v>94</v>
      </c>
      <c r="C19" s="87" t="s">
        <v>104</v>
      </c>
      <c r="D19" s="89"/>
      <c r="E19" s="40">
        <f>(1-EXP(-1000*D16)-1+EXP(-500*D16))/(1-(1-EXP(-500*D16)))</f>
        <v>0.96874350112259355</v>
      </c>
      <c r="F19" s="18"/>
      <c r="G19" s="18"/>
      <c r="H19" s="18"/>
      <c r="I19" s="18"/>
      <c r="J19" s="18"/>
      <c r="K19" s="18"/>
      <c r="L19" s="18"/>
      <c r="M19" s="18"/>
      <c r="N19" s="18"/>
    </row>
    <row r="20" spans="1:14">
      <c r="A20" s="18"/>
      <c r="B20" s="39"/>
      <c r="C20" s="107" t="s">
        <v>105</v>
      </c>
      <c r="D20" s="107"/>
      <c r="E20" s="107"/>
      <c r="F20" s="18"/>
      <c r="G20" s="18"/>
      <c r="H20" s="18"/>
      <c r="I20" s="18"/>
      <c r="J20" s="18"/>
      <c r="K20" s="18"/>
      <c r="L20" s="18"/>
      <c r="M20" s="18"/>
      <c r="N20" s="18"/>
    </row>
    <row r="21" spans="1:14">
      <c r="A21" s="18"/>
      <c r="B21" s="34"/>
      <c r="C21" s="107" t="s">
        <v>106</v>
      </c>
      <c r="D21" s="107"/>
      <c r="E21" s="107"/>
      <c r="F21" s="18"/>
      <c r="G21" s="18"/>
      <c r="H21" s="18"/>
      <c r="I21" s="18"/>
      <c r="J21" s="18"/>
      <c r="K21" s="18"/>
      <c r="L21" s="18"/>
      <c r="M21" s="18"/>
      <c r="N21" s="18"/>
    </row>
    <row r="22" spans="1:14">
      <c r="A22" s="18"/>
      <c r="B22" s="18"/>
      <c r="C22" s="18"/>
      <c r="D22" s="18"/>
      <c r="E22" s="18"/>
      <c r="F22" s="18"/>
      <c r="G22" s="18"/>
      <c r="H22" s="18"/>
      <c r="I22" s="18"/>
      <c r="J22" s="18"/>
      <c r="K22" s="18"/>
      <c r="L22" s="18"/>
      <c r="M22" s="18"/>
      <c r="N22" s="18"/>
    </row>
  </sheetData>
  <mergeCells count="12">
    <mergeCell ref="C21:E21"/>
    <mergeCell ref="B4:M4"/>
    <mergeCell ref="B5:M5"/>
    <mergeCell ref="B6:M6"/>
    <mergeCell ref="B7:M7"/>
    <mergeCell ref="C9:H9"/>
    <mergeCell ref="C10:E10"/>
    <mergeCell ref="C11:E11"/>
    <mergeCell ref="C12:E12"/>
    <mergeCell ref="C15:E15"/>
    <mergeCell ref="C19:D19"/>
    <mergeCell ref="C20:E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20"/>
  <sheetViews>
    <sheetView workbookViewId="0">
      <selection activeCell="J8" sqref="J8"/>
    </sheetView>
  </sheetViews>
  <sheetFormatPr defaultRowHeight="14.4"/>
  <sheetData>
    <row r="1" spans="1:12">
      <c r="A1" t="s">
        <v>119</v>
      </c>
    </row>
    <row r="2" spans="1:12">
      <c r="A2" s="18"/>
      <c r="B2" s="18"/>
      <c r="C2" s="18"/>
      <c r="D2" s="18"/>
      <c r="E2" s="18"/>
      <c r="F2" s="18"/>
      <c r="G2" s="18"/>
      <c r="H2" s="18"/>
      <c r="I2" s="18"/>
      <c r="J2" s="18"/>
      <c r="K2" s="18"/>
      <c r="L2" s="18"/>
    </row>
    <row r="3" spans="1:12">
      <c r="A3" s="18"/>
      <c r="B3" s="91" t="s">
        <v>108</v>
      </c>
      <c r="C3" s="77"/>
      <c r="D3" s="77"/>
      <c r="E3" s="77"/>
      <c r="F3" s="77"/>
      <c r="G3" s="77"/>
      <c r="H3" s="77"/>
      <c r="I3" s="77"/>
      <c r="J3" s="77"/>
      <c r="K3" s="78"/>
      <c r="L3" s="18"/>
    </row>
    <row r="4" spans="1:12">
      <c r="A4" s="1"/>
      <c r="B4" s="82"/>
      <c r="C4" s="80"/>
      <c r="D4" s="80"/>
      <c r="E4" s="80"/>
      <c r="F4" s="80"/>
      <c r="G4" s="80"/>
      <c r="H4" s="80"/>
      <c r="I4" s="80"/>
      <c r="J4" s="80"/>
      <c r="K4" s="81"/>
      <c r="L4" s="1"/>
    </row>
    <row r="5" spans="1:12">
      <c r="A5" s="1"/>
      <c r="B5" s="82" t="s">
        <v>109</v>
      </c>
      <c r="C5" s="80"/>
      <c r="D5" s="80"/>
      <c r="E5" s="80"/>
      <c r="F5" s="80"/>
      <c r="G5" s="80"/>
      <c r="H5" s="80"/>
      <c r="I5" s="80"/>
      <c r="J5" s="80"/>
      <c r="K5" s="81"/>
      <c r="L5" s="1"/>
    </row>
    <row r="6" spans="1:12">
      <c r="A6" s="1"/>
      <c r="B6" s="82" t="s">
        <v>110</v>
      </c>
      <c r="C6" s="80"/>
      <c r="D6" s="80"/>
      <c r="E6" s="80"/>
      <c r="F6" s="80"/>
      <c r="G6" s="80"/>
      <c r="H6" s="80"/>
      <c r="I6" s="80"/>
      <c r="J6" s="80"/>
      <c r="K6" s="81"/>
      <c r="L6" s="1"/>
    </row>
    <row r="7" spans="1:12" ht="15">
      <c r="A7" s="1"/>
      <c r="B7" s="92" t="s">
        <v>111</v>
      </c>
      <c r="C7" s="85"/>
      <c r="D7" s="85"/>
      <c r="E7" s="85"/>
      <c r="F7" s="85"/>
      <c r="G7" s="85"/>
      <c r="H7" s="85"/>
      <c r="I7" s="85"/>
      <c r="J7" s="85"/>
      <c r="K7" s="86"/>
      <c r="L7" s="1"/>
    </row>
    <row r="8" spans="1:12">
      <c r="A8" s="1"/>
      <c r="B8" s="35"/>
      <c r="C8" s="35"/>
      <c r="D8" s="35"/>
      <c r="E8" s="35"/>
      <c r="F8" s="35"/>
      <c r="G8" s="35"/>
      <c r="H8" s="35"/>
      <c r="I8" s="35"/>
      <c r="J8" s="35"/>
      <c r="K8" s="35"/>
      <c r="L8" s="1"/>
    </row>
    <row r="9" spans="1:12" ht="28.8">
      <c r="A9" s="1"/>
      <c r="B9" s="1"/>
      <c r="C9" s="41" t="s">
        <v>112</v>
      </c>
      <c r="D9" s="42">
        <v>2450</v>
      </c>
      <c r="E9" s="35"/>
      <c r="F9" s="35"/>
      <c r="G9" s="35"/>
      <c r="H9" s="35"/>
      <c r="I9" s="35"/>
      <c r="J9" s="35"/>
      <c r="K9" s="35"/>
      <c r="L9" s="1"/>
    </row>
    <row r="10" spans="1:12">
      <c r="A10" s="1"/>
      <c r="B10" s="35"/>
      <c r="C10" s="35"/>
      <c r="D10" s="35"/>
      <c r="E10" s="35"/>
      <c r="F10" s="35"/>
      <c r="G10" s="1"/>
      <c r="H10" s="1"/>
      <c r="I10" s="1"/>
      <c r="J10" s="1"/>
      <c r="K10" s="1"/>
      <c r="L10" s="1"/>
    </row>
    <row r="11" spans="1:12">
      <c r="A11" s="18"/>
      <c r="B11" s="19" t="s">
        <v>90</v>
      </c>
      <c r="C11" s="117" t="s">
        <v>113</v>
      </c>
      <c r="D11" s="117"/>
      <c r="E11" s="43">
        <f>1/D9</f>
        <v>4.0816326530612246E-4</v>
      </c>
      <c r="F11" s="18"/>
      <c r="G11" s="18"/>
      <c r="H11" s="18"/>
      <c r="I11" s="18"/>
      <c r="J11" s="18"/>
      <c r="K11" s="18"/>
      <c r="L11" s="18"/>
    </row>
    <row r="12" spans="1:12">
      <c r="A12" s="18"/>
      <c r="B12" s="19" t="s">
        <v>92</v>
      </c>
      <c r="C12" s="113" t="s">
        <v>114</v>
      </c>
      <c r="D12" s="114"/>
      <c r="E12" s="114"/>
      <c r="F12" s="114"/>
      <c r="G12" s="114"/>
      <c r="H12" s="114"/>
      <c r="I12" s="114"/>
      <c r="J12" s="114"/>
      <c r="K12" s="115"/>
      <c r="L12" s="18"/>
    </row>
    <row r="13" spans="1:12">
      <c r="A13" s="18"/>
      <c r="B13" s="19"/>
      <c r="C13" s="31" t="s">
        <v>86</v>
      </c>
      <c r="D13" s="31">
        <v>3</v>
      </c>
      <c r="E13" s="31" t="s">
        <v>87</v>
      </c>
      <c r="F13" s="18"/>
      <c r="G13" s="18"/>
      <c r="H13" s="18"/>
      <c r="I13" s="18"/>
      <c r="J13" s="18"/>
      <c r="K13" s="18"/>
      <c r="L13" s="18"/>
    </row>
    <row r="14" spans="1:12">
      <c r="A14" s="18"/>
      <c r="B14" s="19"/>
      <c r="C14" s="22"/>
      <c r="D14" s="22">
        <v>90</v>
      </c>
      <c r="E14" s="22" t="s">
        <v>88</v>
      </c>
      <c r="F14" s="18"/>
      <c r="G14" s="18"/>
      <c r="H14" s="18"/>
      <c r="I14" s="18"/>
      <c r="J14" s="18"/>
      <c r="K14" s="18"/>
      <c r="L14" s="18"/>
    </row>
    <row r="15" spans="1:12">
      <c r="A15" s="18"/>
      <c r="B15" s="19"/>
      <c r="C15" s="33" t="s">
        <v>115</v>
      </c>
      <c r="D15" s="33">
        <f>1-(1-EXP(-D14/D9))</f>
        <v>0.96393183844611829</v>
      </c>
      <c r="E15" s="22"/>
      <c r="F15" s="18"/>
      <c r="G15" s="18"/>
      <c r="H15" s="18"/>
      <c r="I15" s="18"/>
      <c r="J15" s="18"/>
      <c r="K15" s="18"/>
      <c r="L15" s="18"/>
    </row>
    <row r="16" spans="1:12">
      <c r="A16" s="18"/>
      <c r="B16" s="39" t="s">
        <v>94</v>
      </c>
      <c r="C16" s="22" t="s">
        <v>116</v>
      </c>
      <c r="D16" s="22">
        <v>0.45</v>
      </c>
      <c r="E16" s="22"/>
      <c r="F16" s="18"/>
      <c r="G16" s="18"/>
      <c r="H16" s="18"/>
      <c r="I16" s="18"/>
      <c r="J16" s="18"/>
      <c r="K16" s="18"/>
      <c r="L16" s="18"/>
    </row>
    <row r="17" spans="1:12">
      <c r="A17" s="18"/>
      <c r="B17" s="39"/>
      <c r="C17" s="33" t="s">
        <v>117</v>
      </c>
      <c r="D17" s="44">
        <v>1956.3608963992331</v>
      </c>
      <c r="E17" s="22"/>
      <c r="F17" s="18"/>
      <c r="G17" s="18"/>
      <c r="H17" s="18"/>
      <c r="I17" s="18"/>
      <c r="J17" s="18"/>
      <c r="K17" s="18"/>
      <c r="L17" s="18"/>
    </row>
    <row r="18" spans="1:12">
      <c r="A18" s="18"/>
      <c r="B18" s="19"/>
      <c r="C18" s="22" t="s">
        <v>116</v>
      </c>
      <c r="D18" s="23">
        <f>EXP(-D17/D9)</f>
        <v>0.4499968700926964</v>
      </c>
      <c r="E18" s="22"/>
      <c r="F18" s="18"/>
      <c r="G18" s="18"/>
      <c r="H18" s="18"/>
      <c r="I18" s="18"/>
      <c r="J18" s="18"/>
      <c r="K18" s="18"/>
      <c r="L18" s="18"/>
    </row>
    <row r="19" spans="1:12">
      <c r="A19" s="1"/>
      <c r="B19" s="1"/>
      <c r="C19" s="116" t="s">
        <v>118</v>
      </c>
      <c r="D19" s="116"/>
      <c r="E19" s="116"/>
      <c r="F19" s="116"/>
      <c r="G19" s="116"/>
      <c r="H19" s="18"/>
      <c r="I19" s="1"/>
      <c r="J19" s="1"/>
      <c r="K19" s="1"/>
      <c r="L19" s="1"/>
    </row>
    <row r="20" spans="1:12">
      <c r="A20" s="1"/>
      <c r="B20" s="1"/>
      <c r="C20" s="1"/>
      <c r="D20" s="1"/>
      <c r="E20" s="18"/>
      <c r="F20" s="18"/>
      <c r="G20" s="18"/>
      <c r="H20" s="18"/>
      <c r="I20" s="1"/>
      <c r="J20" s="1"/>
      <c r="K20" s="1"/>
      <c r="L20" s="1"/>
    </row>
  </sheetData>
  <mergeCells count="7">
    <mergeCell ref="C19:G19"/>
    <mergeCell ref="B3:K4"/>
    <mergeCell ref="B5:K5"/>
    <mergeCell ref="B6:K6"/>
    <mergeCell ref="B7:K7"/>
    <mergeCell ref="C11:D11"/>
    <mergeCell ref="C12:K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P34"/>
  <sheetViews>
    <sheetView workbookViewId="0"/>
  </sheetViews>
  <sheetFormatPr defaultRowHeight="14.4"/>
  <sheetData>
    <row r="1" spans="1:16">
      <c r="A1" t="s">
        <v>26</v>
      </c>
    </row>
    <row r="2" spans="1:16">
      <c r="A2" s="1"/>
      <c r="B2" s="1"/>
      <c r="C2" s="1"/>
      <c r="D2" s="1"/>
      <c r="E2" s="1"/>
      <c r="F2" s="1"/>
      <c r="G2" s="1"/>
      <c r="H2" s="1"/>
      <c r="I2" s="1"/>
      <c r="J2" s="1"/>
      <c r="K2" s="1"/>
      <c r="L2" s="1"/>
      <c r="M2" s="1"/>
      <c r="N2" s="1"/>
      <c r="O2" s="1"/>
      <c r="P2" s="1"/>
    </row>
    <row r="3" spans="1:16">
      <c r="A3" s="1"/>
      <c r="B3" s="91" t="s">
        <v>10</v>
      </c>
      <c r="C3" s="77"/>
      <c r="D3" s="77"/>
      <c r="E3" s="77"/>
      <c r="F3" s="77"/>
      <c r="G3" s="77"/>
      <c r="H3" s="77"/>
      <c r="I3" s="77"/>
      <c r="J3" s="77"/>
      <c r="K3" s="77"/>
      <c r="L3" s="77"/>
      <c r="M3" s="77"/>
      <c r="N3" s="77"/>
      <c r="O3" s="78"/>
      <c r="P3" s="3"/>
    </row>
    <row r="4" spans="1:16">
      <c r="A4" s="1"/>
      <c r="B4" s="82"/>
      <c r="C4" s="83"/>
      <c r="D4" s="83"/>
      <c r="E4" s="83"/>
      <c r="F4" s="83"/>
      <c r="G4" s="83"/>
      <c r="H4" s="83"/>
      <c r="I4" s="83"/>
      <c r="J4" s="83"/>
      <c r="K4" s="83"/>
      <c r="L4" s="83"/>
      <c r="M4" s="83"/>
      <c r="N4" s="83"/>
      <c r="O4" s="81"/>
      <c r="P4" s="3"/>
    </row>
    <row r="5" spans="1:16">
      <c r="A5" s="1"/>
      <c r="B5" s="82"/>
      <c r="C5" s="83"/>
      <c r="D5" s="83"/>
      <c r="E5" s="83"/>
      <c r="F5" s="83"/>
      <c r="G5" s="83"/>
      <c r="H5" s="83"/>
      <c r="I5" s="83"/>
      <c r="J5" s="83"/>
      <c r="K5" s="83"/>
      <c r="L5" s="83"/>
      <c r="M5" s="83"/>
      <c r="N5" s="83"/>
      <c r="O5" s="81"/>
      <c r="P5" s="3"/>
    </row>
    <row r="6" spans="1:16">
      <c r="A6" s="1"/>
      <c r="B6" s="82"/>
      <c r="C6" s="83"/>
      <c r="D6" s="83"/>
      <c r="E6" s="83"/>
      <c r="F6" s="83"/>
      <c r="G6" s="83"/>
      <c r="H6" s="83"/>
      <c r="I6" s="83"/>
      <c r="J6" s="83"/>
      <c r="K6" s="83"/>
      <c r="L6" s="83"/>
      <c r="M6" s="83"/>
      <c r="N6" s="83"/>
      <c r="O6" s="81"/>
      <c r="P6" s="3"/>
    </row>
    <row r="7" spans="1:16">
      <c r="A7" s="1"/>
      <c r="B7" s="82" t="s">
        <v>11</v>
      </c>
      <c r="C7" s="83"/>
      <c r="D7" s="83"/>
      <c r="E7" s="83"/>
      <c r="F7" s="83"/>
      <c r="G7" s="83"/>
      <c r="H7" s="83"/>
      <c r="I7" s="83"/>
      <c r="J7" s="83"/>
      <c r="K7" s="83"/>
      <c r="L7" s="83"/>
      <c r="M7" s="83"/>
      <c r="N7" s="83"/>
      <c r="O7" s="81"/>
      <c r="P7" s="3"/>
    </row>
    <row r="8" spans="1:16">
      <c r="A8" s="1"/>
      <c r="B8" s="82" t="s">
        <v>12</v>
      </c>
      <c r="C8" s="83"/>
      <c r="D8" s="83"/>
      <c r="E8" s="83"/>
      <c r="F8" s="83"/>
      <c r="G8" s="83"/>
      <c r="H8" s="83"/>
      <c r="I8" s="83"/>
      <c r="J8" s="83"/>
      <c r="K8" s="83"/>
      <c r="L8" s="83"/>
      <c r="M8" s="83"/>
      <c r="N8" s="83"/>
      <c r="O8" s="81"/>
      <c r="P8" s="3"/>
    </row>
    <row r="9" spans="1:16">
      <c r="A9" s="1"/>
      <c r="B9" s="92" t="s">
        <v>13</v>
      </c>
      <c r="C9" s="85"/>
      <c r="D9" s="85"/>
      <c r="E9" s="85"/>
      <c r="F9" s="85"/>
      <c r="G9" s="85"/>
      <c r="H9" s="85"/>
      <c r="I9" s="85"/>
      <c r="J9" s="85"/>
      <c r="K9" s="85"/>
      <c r="L9" s="85"/>
      <c r="M9" s="85"/>
      <c r="N9" s="85"/>
      <c r="O9" s="86"/>
      <c r="P9" s="3"/>
    </row>
    <row r="10" spans="1:16">
      <c r="A10" s="1"/>
      <c r="B10" s="1"/>
      <c r="C10" s="1"/>
      <c r="D10" s="1"/>
      <c r="E10" s="1"/>
      <c r="F10" s="1"/>
      <c r="G10" s="1"/>
      <c r="H10" s="1"/>
      <c r="I10" s="1"/>
      <c r="J10" s="1"/>
      <c r="K10" s="1"/>
      <c r="L10" s="1"/>
      <c r="M10" s="1"/>
      <c r="N10" s="1"/>
      <c r="O10" s="1"/>
      <c r="P10" s="1"/>
    </row>
    <row r="11" spans="1:16">
      <c r="A11" s="1"/>
      <c r="B11" s="9" t="s">
        <v>1</v>
      </c>
      <c r="C11" s="6">
        <f>60/12</f>
        <v>5</v>
      </c>
      <c r="D11" s="10" t="s">
        <v>14</v>
      </c>
      <c r="E11" s="1"/>
      <c r="F11" s="1"/>
      <c r="G11" s="1"/>
      <c r="H11" s="1"/>
      <c r="I11" s="1"/>
      <c r="J11" s="1"/>
      <c r="K11" s="1"/>
      <c r="L11" s="1"/>
      <c r="M11" s="1"/>
      <c r="N11" s="1"/>
      <c r="O11" s="1"/>
      <c r="P11" s="1"/>
    </row>
    <row r="12" spans="1:16">
      <c r="A12" s="1"/>
      <c r="B12" s="7" t="s">
        <v>3</v>
      </c>
      <c r="C12" s="6">
        <v>10</v>
      </c>
      <c r="D12" s="6" t="s">
        <v>15</v>
      </c>
      <c r="E12" s="1"/>
      <c r="F12" s="1"/>
      <c r="G12" s="1"/>
      <c r="H12" s="1"/>
      <c r="I12" s="1"/>
      <c r="J12" s="1"/>
      <c r="K12" s="1"/>
      <c r="L12" s="1"/>
      <c r="M12" s="1"/>
      <c r="N12" s="1"/>
      <c r="O12" s="1"/>
      <c r="P12" s="1"/>
    </row>
    <row r="13" spans="1:16">
      <c r="A13" s="1"/>
      <c r="B13" s="1"/>
      <c r="C13" s="1"/>
      <c r="D13" s="1"/>
      <c r="E13" s="1"/>
      <c r="F13" s="1"/>
      <c r="G13" s="1"/>
      <c r="H13" s="1"/>
      <c r="I13" s="1"/>
      <c r="J13" s="1"/>
      <c r="K13" s="1"/>
      <c r="L13" s="1"/>
      <c r="M13" s="1"/>
      <c r="N13" s="1"/>
      <c r="O13" s="1"/>
      <c r="P13" s="1"/>
    </row>
    <row r="14" spans="1:16" ht="28.8">
      <c r="A14" s="1"/>
      <c r="B14" s="11" t="s">
        <v>16</v>
      </c>
      <c r="C14" s="12" t="s">
        <v>17</v>
      </c>
      <c r="D14" s="118" t="s">
        <v>18</v>
      </c>
      <c r="E14" s="119"/>
      <c r="F14" s="119"/>
      <c r="G14" s="120"/>
      <c r="H14" s="1"/>
      <c r="I14" s="1"/>
      <c r="J14" s="1"/>
      <c r="K14" s="1"/>
      <c r="L14" s="1"/>
      <c r="M14" s="1"/>
      <c r="N14" s="1"/>
      <c r="O14" s="1"/>
      <c r="P14" s="1"/>
    </row>
    <row r="15" spans="1:16">
      <c r="A15" s="1"/>
      <c r="B15" s="6">
        <v>1</v>
      </c>
      <c r="C15" s="6">
        <f>$C$10*B15</f>
        <v>0</v>
      </c>
      <c r="D15" s="6">
        <v>0</v>
      </c>
      <c r="E15" s="6">
        <v>1</v>
      </c>
      <c r="F15" s="6">
        <v>2</v>
      </c>
      <c r="G15" s="6">
        <v>3</v>
      </c>
      <c r="H15" s="1"/>
      <c r="I15" s="1"/>
      <c r="J15" s="1"/>
      <c r="K15" s="1"/>
      <c r="L15" s="1"/>
      <c r="M15" s="1"/>
      <c r="N15" s="1"/>
      <c r="O15" s="1"/>
      <c r="P15" s="1"/>
    </row>
    <row r="16" spans="1:16">
      <c r="A16" s="1"/>
      <c r="B16" s="6">
        <v>2</v>
      </c>
      <c r="C16" s="6">
        <f t="shared" ref="C16:C17" si="0">$C$10*B16</f>
        <v>0</v>
      </c>
      <c r="D16" s="6">
        <v>4</v>
      </c>
      <c r="E16" s="6">
        <v>5</v>
      </c>
      <c r="F16" s="6">
        <v>6</v>
      </c>
      <c r="G16" s="6"/>
      <c r="H16" s="1"/>
      <c r="I16" s="1"/>
      <c r="J16" s="1"/>
      <c r="K16" s="1"/>
      <c r="L16" s="1"/>
      <c r="M16" s="1"/>
      <c r="N16" s="1"/>
      <c r="O16" s="1"/>
      <c r="P16" s="1"/>
    </row>
    <row r="17" spans="1:16">
      <c r="A17" s="1"/>
      <c r="B17" s="6">
        <v>3</v>
      </c>
      <c r="C17" s="6">
        <f t="shared" si="0"/>
        <v>0</v>
      </c>
      <c r="D17" s="6">
        <v>7</v>
      </c>
      <c r="E17" s="6"/>
      <c r="F17" s="6"/>
      <c r="G17" s="6"/>
      <c r="H17" s="1"/>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ht="43.8">
      <c r="A19" s="1"/>
      <c r="B19" s="9" t="s">
        <v>18</v>
      </c>
      <c r="C19" s="9" t="s">
        <v>19</v>
      </c>
      <c r="D19" s="9" t="s">
        <v>5</v>
      </c>
      <c r="E19" s="12" t="s">
        <v>20</v>
      </c>
      <c r="F19" s="12" t="s">
        <v>21</v>
      </c>
      <c r="G19" s="1"/>
      <c r="H19" s="1"/>
      <c r="I19" s="1"/>
      <c r="J19" s="1"/>
      <c r="K19" s="1"/>
      <c r="L19" s="1"/>
      <c r="M19" s="1"/>
      <c r="N19" s="1"/>
      <c r="O19" s="1"/>
      <c r="P19" s="1"/>
    </row>
    <row r="20" spans="1:16">
      <c r="A20" s="1"/>
      <c r="B20" s="6">
        <v>1</v>
      </c>
      <c r="C20" s="6" t="e">
        <f>C12/C15</f>
        <v>#DIV/0!</v>
      </c>
      <c r="D20" s="13" t="e">
        <f>C20*$D$27</f>
        <v>#DIV/0!</v>
      </c>
      <c r="E20" s="6">
        <f>IF(B20&lt;4,2,IF(B20&gt;6,0,1))</f>
        <v>2</v>
      </c>
      <c r="F20" s="14" t="e">
        <f>D20*E20</f>
        <v>#DIV/0!</v>
      </c>
      <c r="G20" s="1"/>
      <c r="H20" s="1"/>
      <c r="I20" s="1"/>
      <c r="J20" s="1"/>
      <c r="K20" s="1"/>
      <c r="L20" s="1"/>
      <c r="M20" s="1"/>
      <c r="N20" s="1"/>
      <c r="O20" s="1"/>
      <c r="P20" s="1"/>
    </row>
    <row r="21" spans="1:16">
      <c r="A21" s="1"/>
      <c r="B21" s="6">
        <v>2</v>
      </c>
      <c r="C21" s="6" t="e">
        <f>C12*C20/C15</f>
        <v>#DIV/0!</v>
      </c>
      <c r="D21" s="13" t="e">
        <f t="shared" ref="D21:D26" si="1">C21*$D$27</f>
        <v>#DIV/0!</v>
      </c>
      <c r="E21" s="6">
        <f t="shared" ref="E21:E26" si="2">IF(B21&lt;4,2,IF(B21&gt;6,0,1))</f>
        <v>2</v>
      </c>
      <c r="F21" s="14" t="e">
        <f t="shared" ref="F21:F26" si="3">D21*E21</f>
        <v>#DIV/0!</v>
      </c>
      <c r="G21" s="1"/>
      <c r="H21" s="1"/>
      <c r="I21" s="1"/>
      <c r="J21" s="1"/>
      <c r="K21" s="1"/>
      <c r="L21" s="1"/>
      <c r="M21" s="1"/>
      <c r="N21" s="1"/>
      <c r="O21" s="1"/>
      <c r="P21" s="1"/>
    </row>
    <row r="22" spans="1:16">
      <c r="A22" s="1"/>
      <c r="B22" s="6">
        <v>3</v>
      </c>
      <c r="C22" s="6" t="e">
        <f>C21*C12/C15</f>
        <v>#DIV/0!</v>
      </c>
      <c r="D22" s="13" t="e">
        <f t="shared" si="1"/>
        <v>#DIV/0!</v>
      </c>
      <c r="E22" s="6">
        <f t="shared" si="2"/>
        <v>2</v>
      </c>
      <c r="F22" s="14" t="e">
        <f t="shared" si="3"/>
        <v>#DIV/0!</v>
      </c>
      <c r="G22" s="1"/>
      <c r="H22" s="1"/>
      <c r="I22" s="1"/>
      <c r="J22" s="1"/>
      <c r="K22" s="1"/>
      <c r="L22" s="1"/>
      <c r="M22" s="1"/>
      <c r="N22" s="1"/>
      <c r="O22" s="1"/>
      <c r="P22" s="1"/>
    </row>
    <row r="23" spans="1:16">
      <c r="A23" s="1"/>
      <c r="B23" s="6">
        <v>4</v>
      </c>
      <c r="C23" s="6" t="e">
        <f>C22*C12/C16</f>
        <v>#DIV/0!</v>
      </c>
      <c r="D23" s="13" t="e">
        <f t="shared" si="1"/>
        <v>#DIV/0!</v>
      </c>
      <c r="E23" s="6">
        <f t="shared" si="2"/>
        <v>1</v>
      </c>
      <c r="F23" s="14" t="e">
        <f t="shared" si="3"/>
        <v>#DIV/0!</v>
      </c>
      <c r="G23" s="1"/>
      <c r="H23" s="1"/>
      <c r="I23" s="1"/>
      <c r="J23" s="1"/>
      <c r="K23" s="1"/>
      <c r="L23" s="1"/>
      <c r="M23" s="1"/>
      <c r="N23" s="1"/>
      <c r="O23" s="1"/>
      <c r="P23" s="1"/>
    </row>
    <row r="24" spans="1:16">
      <c r="A24" s="1"/>
      <c r="B24" s="6">
        <v>5</v>
      </c>
      <c r="C24" s="6" t="e">
        <f>C23*C12/C16</f>
        <v>#DIV/0!</v>
      </c>
      <c r="D24" s="13" t="e">
        <f t="shared" si="1"/>
        <v>#DIV/0!</v>
      </c>
      <c r="E24" s="6">
        <f t="shared" si="2"/>
        <v>1</v>
      </c>
      <c r="F24" s="14" t="e">
        <f t="shared" si="3"/>
        <v>#DIV/0!</v>
      </c>
      <c r="G24" s="1"/>
      <c r="H24" s="1"/>
      <c r="I24" s="1"/>
      <c r="J24" s="1"/>
      <c r="K24" s="1"/>
      <c r="L24" s="1"/>
      <c r="M24" s="1"/>
      <c r="N24" s="1"/>
      <c r="O24" s="1"/>
      <c r="P24" s="1"/>
    </row>
    <row r="25" spans="1:16">
      <c r="A25" s="1"/>
      <c r="B25" s="6">
        <v>6</v>
      </c>
      <c r="C25" s="6" t="e">
        <f>C24*C12/C16</f>
        <v>#DIV/0!</v>
      </c>
      <c r="D25" s="13" t="e">
        <f t="shared" si="1"/>
        <v>#DIV/0!</v>
      </c>
      <c r="E25" s="6">
        <f t="shared" si="2"/>
        <v>1</v>
      </c>
      <c r="F25" s="14" t="e">
        <f t="shared" si="3"/>
        <v>#DIV/0!</v>
      </c>
      <c r="G25" s="1"/>
      <c r="H25" s="1"/>
      <c r="I25" s="1"/>
      <c r="J25" s="1"/>
      <c r="K25" s="1"/>
      <c r="L25" s="1"/>
      <c r="M25" s="1"/>
      <c r="N25" s="1"/>
      <c r="O25" s="1"/>
      <c r="P25" s="1"/>
    </row>
    <row r="26" spans="1:16">
      <c r="A26" s="1"/>
      <c r="B26" s="6" t="s">
        <v>22</v>
      </c>
      <c r="C26" s="6" t="e">
        <f>C25*C12/C17*(1/(1-C12/C17))</f>
        <v>#DIV/0!</v>
      </c>
      <c r="D26" s="13" t="e">
        <f t="shared" si="1"/>
        <v>#DIV/0!</v>
      </c>
      <c r="E26" s="6">
        <f t="shared" si="2"/>
        <v>0</v>
      </c>
      <c r="F26" s="15" t="e">
        <f t="shared" si="3"/>
        <v>#DIV/0!</v>
      </c>
      <c r="G26" s="1"/>
      <c r="H26" s="1"/>
      <c r="I26" s="1"/>
      <c r="J26" s="1"/>
      <c r="K26" s="1"/>
      <c r="L26" s="1"/>
      <c r="M26" s="1"/>
      <c r="N26" s="1"/>
      <c r="O26" s="1"/>
      <c r="P26" s="1"/>
    </row>
    <row r="27" spans="1:16">
      <c r="A27" s="1"/>
      <c r="B27" s="1"/>
      <c r="C27" s="1"/>
      <c r="D27" s="16"/>
      <c r="E27" s="1"/>
      <c r="F27" s="14" t="e">
        <f>1-SUM(F20:F26)</f>
        <v>#DIV/0!</v>
      </c>
      <c r="G27" s="1"/>
      <c r="H27" s="1"/>
      <c r="I27" s="1"/>
      <c r="J27" s="1"/>
      <c r="K27" s="1"/>
      <c r="L27" s="1"/>
      <c r="M27" s="1"/>
      <c r="N27" s="1"/>
      <c r="O27" s="1"/>
      <c r="P27" s="1"/>
    </row>
    <row r="28" spans="1:16" ht="15.6">
      <c r="A28" s="1"/>
      <c r="B28" s="99" t="s">
        <v>23</v>
      </c>
      <c r="C28" s="99"/>
      <c r="D28" s="13" t="e">
        <f>1/(SUM(C20:C26) + 1)</f>
        <v>#DIV/0!</v>
      </c>
      <c r="E28" s="1"/>
      <c r="F28" s="1"/>
      <c r="G28" s="1"/>
      <c r="H28" s="1"/>
      <c r="I28" s="1"/>
      <c r="J28" s="1"/>
      <c r="K28" s="1"/>
      <c r="L28" s="1"/>
      <c r="M28" s="1"/>
      <c r="N28" s="1"/>
      <c r="O28" s="1"/>
      <c r="P28" s="1"/>
    </row>
    <row r="29" spans="1:16">
      <c r="A29" s="1"/>
      <c r="B29" s="100" t="s">
        <v>24</v>
      </c>
      <c r="C29" s="100"/>
      <c r="D29" s="15">
        <f>AVERAGE(E20:E26)</f>
        <v>1.2857142857142858</v>
      </c>
      <c r="E29" s="1"/>
      <c r="F29" s="1"/>
      <c r="G29" s="1"/>
      <c r="H29" s="1"/>
      <c r="I29" s="1"/>
      <c r="J29" s="1"/>
      <c r="K29" s="1"/>
      <c r="L29" s="1"/>
      <c r="M29" s="1"/>
      <c r="N29" s="1"/>
      <c r="O29" s="1"/>
      <c r="P29" s="1"/>
    </row>
    <row r="30" spans="1:16">
      <c r="A30" s="1"/>
      <c r="B30" s="100" t="s">
        <v>25</v>
      </c>
      <c r="C30" s="100"/>
      <c r="D30" s="15">
        <f>3-D29</f>
        <v>1.7142857142857142</v>
      </c>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sheetData>
  <mergeCells count="8">
    <mergeCell ref="B29:C29"/>
    <mergeCell ref="B30:C30"/>
    <mergeCell ref="B3:O6"/>
    <mergeCell ref="B7:O7"/>
    <mergeCell ref="B8:O8"/>
    <mergeCell ref="B9:O9"/>
    <mergeCell ref="D14:G14"/>
    <mergeCell ref="B28:C2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21"/>
  <sheetViews>
    <sheetView workbookViewId="0">
      <selection activeCell="F6" sqref="F6"/>
    </sheetView>
  </sheetViews>
  <sheetFormatPr defaultRowHeight="14.4"/>
  <sheetData>
    <row r="1" spans="1:15">
      <c r="A1" t="s">
        <v>9</v>
      </c>
    </row>
    <row r="2" spans="1:15">
      <c r="A2" s="91" t="s">
        <v>0</v>
      </c>
      <c r="B2" s="77"/>
      <c r="C2" s="77"/>
      <c r="D2" s="77"/>
      <c r="E2" s="77"/>
      <c r="F2" s="77"/>
      <c r="G2" s="77"/>
      <c r="H2" s="77"/>
      <c r="I2" s="77"/>
      <c r="J2" s="77"/>
      <c r="K2" s="77"/>
      <c r="L2" s="77"/>
      <c r="M2" s="77"/>
      <c r="N2" s="78"/>
      <c r="O2" s="3"/>
    </row>
    <row r="3" spans="1:15">
      <c r="A3" s="92"/>
      <c r="B3" s="85"/>
      <c r="C3" s="85"/>
      <c r="D3" s="85"/>
      <c r="E3" s="85"/>
      <c r="F3" s="85"/>
      <c r="G3" s="85"/>
      <c r="H3" s="85"/>
      <c r="I3" s="85"/>
      <c r="J3" s="85"/>
      <c r="K3" s="85"/>
      <c r="L3" s="85"/>
      <c r="M3" s="85"/>
      <c r="N3" s="86"/>
      <c r="O3" s="3"/>
    </row>
    <row r="4" spans="1:15">
      <c r="A4" s="1"/>
      <c r="B4" s="2"/>
      <c r="C4" s="1"/>
      <c r="D4" s="1"/>
      <c r="E4" s="1"/>
      <c r="F4" s="1"/>
      <c r="G4" s="1"/>
      <c r="H4" s="1"/>
      <c r="I4" s="1"/>
      <c r="J4" s="1"/>
      <c r="K4" s="1"/>
      <c r="L4" s="1"/>
      <c r="M4" s="1"/>
      <c r="N4" s="1"/>
      <c r="O4" s="1"/>
    </row>
    <row r="5" spans="1:15">
      <c r="A5" s="4" t="s">
        <v>1</v>
      </c>
      <c r="B5" s="5">
        <f>1/20</f>
        <v>0.05</v>
      </c>
      <c r="C5" s="6" t="s">
        <v>2</v>
      </c>
      <c r="D5" s="1"/>
      <c r="E5" s="1"/>
      <c r="F5" s="1"/>
      <c r="G5" s="1"/>
      <c r="H5" s="1"/>
      <c r="I5" s="1"/>
      <c r="J5" s="1"/>
      <c r="K5" s="1"/>
      <c r="L5" s="1"/>
      <c r="M5" s="1"/>
      <c r="N5" s="1"/>
      <c r="O5" s="1"/>
    </row>
    <row r="6" spans="1:15">
      <c r="A6" s="7" t="s">
        <v>3</v>
      </c>
      <c r="B6" s="5">
        <f>12/60</f>
        <v>0.2</v>
      </c>
      <c r="C6" s="6" t="s">
        <v>2</v>
      </c>
      <c r="D6" s="1"/>
      <c r="E6" s="1"/>
      <c r="F6" s="1"/>
      <c r="G6" s="1"/>
      <c r="H6" s="1"/>
      <c r="I6" s="1"/>
      <c r="J6" s="1"/>
      <c r="K6" s="1"/>
      <c r="L6" s="1"/>
      <c r="M6" s="1"/>
      <c r="N6" s="1"/>
      <c r="O6" s="1"/>
    </row>
    <row r="7" spans="1:15">
      <c r="A7" s="7" t="s">
        <v>4</v>
      </c>
      <c r="B7" s="5">
        <f>B6/B5</f>
        <v>4</v>
      </c>
      <c r="C7" s="6"/>
      <c r="D7" s="1"/>
      <c r="E7" s="1"/>
      <c r="F7" s="1"/>
      <c r="G7" s="1"/>
      <c r="H7" s="1"/>
      <c r="I7" s="1"/>
      <c r="J7" s="1"/>
      <c r="K7" s="1"/>
      <c r="L7" s="1"/>
      <c r="M7" s="1"/>
      <c r="N7" s="1"/>
      <c r="O7" s="1"/>
    </row>
    <row r="8" spans="1:15" ht="15.6">
      <c r="A8" s="118" t="s">
        <v>5</v>
      </c>
      <c r="B8" s="119"/>
      <c r="C8" s="120"/>
      <c r="D8" s="1"/>
      <c r="E8" s="1"/>
      <c r="F8" s="1"/>
      <c r="G8" s="1"/>
      <c r="H8" s="1"/>
      <c r="I8" s="1"/>
      <c r="J8" s="1"/>
      <c r="K8" s="1"/>
      <c r="L8" s="1"/>
      <c r="M8" s="1"/>
      <c r="N8" s="1"/>
      <c r="O8" s="1"/>
    </row>
    <row r="9" spans="1:15">
      <c r="A9" s="4">
        <v>0</v>
      </c>
      <c r="B9" s="5">
        <f>EXP(-$C$7)</f>
        <v>1</v>
      </c>
      <c r="C9" s="6"/>
      <c r="D9" s="1"/>
      <c r="E9" s="1"/>
      <c r="F9" s="1"/>
      <c r="G9" s="1"/>
      <c r="H9" s="1"/>
      <c r="I9" s="1"/>
      <c r="J9" s="1"/>
      <c r="K9" s="1"/>
      <c r="L9" s="1"/>
      <c r="M9" s="1"/>
      <c r="N9" s="1"/>
      <c r="O9" s="1"/>
    </row>
    <row r="10" spans="1:15">
      <c r="A10" s="7">
        <v>1</v>
      </c>
      <c r="B10" s="5">
        <f>($C$9*$C$7^A10)/FACT(A10)</f>
        <v>0</v>
      </c>
      <c r="C10" s="6"/>
      <c r="D10" s="1"/>
      <c r="E10" s="1"/>
      <c r="F10" s="1"/>
      <c r="G10" s="1"/>
      <c r="H10" s="1"/>
      <c r="I10" s="1"/>
      <c r="J10" s="1"/>
      <c r="K10" s="1"/>
      <c r="L10" s="1"/>
      <c r="M10" s="1"/>
      <c r="N10" s="1"/>
      <c r="O10" s="1"/>
    </row>
    <row r="11" spans="1:15">
      <c r="A11" s="7">
        <v>2</v>
      </c>
      <c r="B11" s="5">
        <f t="shared" ref="B11:B16" si="0">($C$9*$C$7^A11)/FACT(A11)</f>
        <v>0</v>
      </c>
      <c r="C11" s="6"/>
      <c r="D11" s="1"/>
      <c r="E11" s="1"/>
      <c r="F11" s="1"/>
      <c r="G11" s="1"/>
      <c r="H11" s="1"/>
      <c r="I11" s="1"/>
      <c r="J11" s="1"/>
      <c r="K11" s="1"/>
      <c r="L11" s="1"/>
      <c r="M11" s="1"/>
      <c r="N11" s="1"/>
      <c r="O11" s="1"/>
    </row>
    <row r="12" spans="1:15">
      <c r="A12" s="4">
        <v>3</v>
      </c>
      <c r="B12" s="5">
        <f t="shared" si="0"/>
        <v>0</v>
      </c>
      <c r="C12" s="6"/>
      <c r="D12" s="1"/>
      <c r="E12" s="1"/>
      <c r="F12" s="1"/>
      <c r="G12" s="1"/>
      <c r="H12" s="1"/>
      <c r="I12" s="1"/>
      <c r="J12" s="1"/>
      <c r="K12" s="1"/>
      <c r="L12" s="1"/>
      <c r="M12" s="1"/>
      <c r="N12" s="1"/>
      <c r="O12" s="1"/>
    </row>
    <row r="13" spans="1:15">
      <c r="A13" s="7">
        <v>4</v>
      </c>
      <c r="B13" s="5">
        <f t="shared" si="0"/>
        <v>0</v>
      </c>
      <c r="C13" s="6"/>
      <c r="D13" s="1"/>
      <c r="E13" s="1"/>
      <c r="F13" s="1"/>
      <c r="G13" s="1"/>
      <c r="H13" s="1"/>
      <c r="I13" s="1"/>
      <c r="J13" s="1"/>
      <c r="K13" s="1"/>
      <c r="L13" s="1"/>
      <c r="M13" s="1"/>
      <c r="N13" s="1"/>
      <c r="O13" s="1"/>
    </row>
    <row r="14" spans="1:15">
      <c r="A14" s="4">
        <v>5</v>
      </c>
      <c r="B14" s="5">
        <f t="shared" si="0"/>
        <v>0</v>
      </c>
      <c r="C14" s="6"/>
      <c r="D14" s="1"/>
      <c r="E14" s="1"/>
      <c r="F14" s="1"/>
      <c r="G14" s="1"/>
      <c r="H14" s="1"/>
      <c r="I14" s="1"/>
      <c r="J14" s="1"/>
      <c r="K14" s="1"/>
      <c r="L14" s="1"/>
      <c r="M14" s="1"/>
      <c r="N14" s="1"/>
      <c r="O14" s="1"/>
    </row>
    <row r="15" spans="1:15">
      <c r="A15" s="7">
        <v>6</v>
      </c>
      <c r="B15" s="5">
        <f t="shared" si="0"/>
        <v>0</v>
      </c>
      <c r="C15" s="6"/>
      <c r="D15" s="1"/>
      <c r="E15" s="1"/>
      <c r="F15" s="1"/>
      <c r="G15" s="1"/>
      <c r="H15" s="1"/>
      <c r="I15" s="1"/>
      <c r="J15" s="1"/>
      <c r="K15" s="1"/>
      <c r="L15" s="1"/>
      <c r="M15" s="1"/>
      <c r="N15" s="1"/>
      <c r="O15" s="1"/>
    </row>
    <row r="16" spans="1:15">
      <c r="A16" s="7">
        <v>7</v>
      </c>
      <c r="B16" s="5">
        <f t="shared" si="0"/>
        <v>0</v>
      </c>
      <c r="C16" s="6"/>
      <c r="D16" s="1"/>
      <c r="E16" s="1"/>
      <c r="F16" s="1"/>
      <c r="G16" s="1"/>
      <c r="H16" s="1"/>
      <c r="I16" s="1"/>
      <c r="J16" s="1"/>
      <c r="K16" s="1"/>
      <c r="L16" s="1"/>
      <c r="M16" s="1"/>
      <c r="N16" s="1"/>
      <c r="O16" s="1"/>
    </row>
    <row r="17" spans="1:15">
      <c r="A17" s="7" t="s">
        <v>6</v>
      </c>
      <c r="B17" s="5">
        <f>SUM(B9:B16)</f>
        <v>1</v>
      </c>
      <c r="C17" s="6"/>
      <c r="D17" s="1"/>
      <c r="E17" s="1"/>
      <c r="F17" s="1"/>
      <c r="G17" s="1"/>
      <c r="H17" s="1"/>
      <c r="I17" s="1"/>
      <c r="J17" s="1"/>
      <c r="K17" s="1"/>
      <c r="L17" s="1"/>
      <c r="M17" s="1"/>
      <c r="N17" s="1"/>
      <c r="O17" s="1"/>
    </row>
    <row r="18" spans="1:15">
      <c r="A18" s="1"/>
      <c r="B18" s="2"/>
      <c r="C18" s="1"/>
      <c r="D18" s="1"/>
      <c r="E18" s="1"/>
      <c r="F18" s="1"/>
      <c r="G18" s="1"/>
      <c r="H18" s="1"/>
      <c r="I18" s="1"/>
      <c r="J18" s="1"/>
      <c r="K18" s="1"/>
      <c r="L18" s="1"/>
      <c r="M18" s="1"/>
      <c r="N18" s="1"/>
      <c r="O18" s="1"/>
    </row>
    <row r="19" spans="1:15">
      <c r="A19" s="121" t="s">
        <v>7</v>
      </c>
      <c r="B19" s="121"/>
      <c r="C19" s="121"/>
      <c r="D19" s="121"/>
      <c r="E19" s="121"/>
      <c r="F19" s="121"/>
      <c r="G19" s="121"/>
      <c r="H19" s="121"/>
      <c r="I19" s="1"/>
      <c r="J19" s="1"/>
      <c r="K19" s="1"/>
      <c r="L19" s="1"/>
      <c r="M19" s="1"/>
      <c r="N19" s="1"/>
      <c r="O19" s="1"/>
    </row>
    <row r="20" spans="1:15">
      <c r="A20" s="1"/>
      <c r="B20" s="2"/>
      <c r="C20" s="1"/>
      <c r="D20" s="1"/>
      <c r="E20" s="1"/>
      <c r="F20" s="1"/>
      <c r="G20" s="1"/>
      <c r="H20" s="1"/>
      <c r="I20" s="1"/>
      <c r="J20" s="1"/>
      <c r="K20" s="1"/>
      <c r="L20" s="1"/>
      <c r="M20" s="1"/>
      <c r="N20" s="1"/>
      <c r="O20" s="1"/>
    </row>
    <row r="21" spans="1:15">
      <c r="A21" s="1"/>
      <c r="B21" s="2"/>
      <c r="C21" s="1"/>
      <c r="D21" s="1"/>
      <c r="E21" s="1"/>
      <c r="F21" s="1"/>
      <c r="G21" s="1"/>
      <c r="H21" s="1"/>
      <c r="I21" s="1"/>
      <c r="J21" s="1"/>
      <c r="K21" s="1"/>
      <c r="L21" s="1"/>
      <c r="M21" s="1"/>
      <c r="N21" s="1"/>
      <c r="O21" s="1"/>
    </row>
  </sheetData>
  <mergeCells count="3">
    <mergeCell ref="A2:N3"/>
    <mergeCell ref="A8:C8"/>
    <mergeCell ref="A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ASUS</cp:lastModifiedBy>
  <dcterms:created xsi:type="dcterms:W3CDTF">2023-12-06T08:29:56Z</dcterms:created>
  <dcterms:modified xsi:type="dcterms:W3CDTF">2023-12-18T11:38:27Z</dcterms:modified>
</cp:coreProperties>
</file>