
<file path=[Content_Types].xml><?xml version="1.0" encoding="utf-8"?>
<Types xmlns="http://schemas.openxmlformats.org/package/2006/content-types">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16608" windowHeight="7656"/>
  </bookViews>
  <sheets>
    <sheet name="INTRO" sheetId="1" r:id="rId1"/>
    <sheet name="Q1" sheetId="7" r:id="rId2"/>
    <sheet name="Q2" sheetId="2" r:id="rId3"/>
    <sheet name="Q3" sheetId="3" r:id="rId4"/>
    <sheet name="Q4" sheetId="4" r:id="rId5"/>
    <sheet name="Q5" sheetId="5" r:id="rId6"/>
    <sheet name="Q6" sheetId="8" r:id="rId7"/>
    <sheet name="Q7" sheetId="6" r:id="rId8"/>
    <sheet name="Q8" sheetId="9" r:id="rId9"/>
    <sheet name="Q9" sheetId="10" r:id="rId10"/>
    <sheet name="Q10" sheetId="11" r:id="rId11"/>
    <sheet name="Q11" sheetId="12" r:id="rId12"/>
    <sheet name="Q12" sheetId="13" r:id="rId13"/>
    <sheet name="Q13" sheetId="14" r:id="rId1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14"/>
  <c r="C6"/>
  <c r="C7"/>
  <c r="C9" s="1"/>
  <c r="D30" i="13"/>
  <c r="D31" s="1"/>
  <c r="E20"/>
  <c r="E21"/>
  <c r="E22"/>
  <c r="E23"/>
  <c r="E24"/>
  <c r="E25"/>
  <c r="E26"/>
  <c r="C11"/>
  <c r="C15" s="1"/>
  <c r="C20" s="1"/>
  <c r="D17" i="12"/>
  <c r="D16"/>
  <c r="D15"/>
  <c r="D14"/>
  <c r="E11"/>
  <c r="C20" i="10"/>
  <c r="C21" s="1"/>
  <c r="C19"/>
  <c r="C13" i="11"/>
  <c r="C16" s="1"/>
  <c r="D22" i="9"/>
  <c r="D21"/>
  <c r="D20"/>
  <c r="D19"/>
  <c r="D18"/>
  <c r="D23" s="1"/>
  <c r="F26" s="1"/>
  <c r="C11"/>
  <c r="F25" s="1"/>
  <c r="C13" i="14" l="1"/>
  <c r="C10"/>
  <c r="C17" s="1"/>
  <c r="C14"/>
  <c r="C11"/>
  <c r="C15"/>
  <c r="C12"/>
  <c r="C16"/>
  <c r="C21" i="13"/>
  <c r="C17"/>
  <c r="C16"/>
  <c r="C14" i="11"/>
  <c r="C15"/>
  <c r="F18" i="7"/>
  <c r="F20" s="1"/>
  <c r="F16"/>
  <c r="C14"/>
  <c r="C11"/>
  <c r="C9"/>
  <c r="C8"/>
  <c r="C10" s="1"/>
  <c r="C22" i="13" l="1"/>
  <c r="C10" i="6"/>
  <c r="B12" i="5"/>
  <c r="B10"/>
  <c r="B16" s="1"/>
  <c r="B9"/>
  <c r="B9" i="4"/>
  <c r="B12" s="1"/>
  <c r="B12" i="3"/>
  <c r="B11"/>
  <c r="B14" s="1"/>
  <c r="H12" i="2"/>
  <c r="D12"/>
  <c r="D10"/>
  <c r="D17"/>
  <c r="D22" s="1"/>
  <c r="D23" s="1"/>
  <c r="D24" s="1"/>
  <c r="H13"/>
  <c r="H14" s="1"/>
  <c r="D13"/>
  <c r="D14" s="1"/>
  <c r="C23" i="13" l="1"/>
  <c r="C12" i="6"/>
  <c r="C13" s="1"/>
  <c r="C11"/>
  <c r="B13" i="5"/>
  <c r="B15"/>
  <c r="B11"/>
  <c r="B11" i="4"/>
  <c r="B16"/>
  <c r="B17" s="1"/>
  <c r="B13"/>
  <c r="B15" s="1"/>
  <c r="B19" i="3"/>
  <c r="B20" s="1"/>
  <c r="B15"/>
  <c r="B17" s="1"/>
  <c r="B13"/>
  <c r="B18" s="1"/>
  <c r="D19" i="2"/>
  <c r="C24" i="13" l="1"/>
  <c r="C25" l="1"/>
  <c r="C26" l="1"/>
  <c r="D29" s="1"/>
  <c r="D20" l="1"/>
  <c r="F20" s="1"/>
  <c r="D21"/>
  <c r="F21" s="1"/>
  <c r="D22"/>
  <c r="F22" s="1"/>
  <c r="D23"/>
  <c r="F23" s="1"/>
  <c r="D24"/>
  <c r="F24" s="1"/>
  <c r="D25"/>
  <c r="F25" s="1"/>
  <c r="D26"/>
  <c r="F26" s="1"/>
  <c r="F27" l="1"/>
</calcChain>
</file>

<file path=xl/sharedStrings.xml><?xml version="1.0" encoding="utf-8"?>
<sst xmlns="http://schemas.openxmlformats.org/spreadsheetml/2006/main" count="174" uniqueCount="92">
  <si>
    <t>(a)</t>
  </si>
  <si>
    <t>Counter 1</t>
  </si>
  <si>
    <t>&lt;1000</t>
  </si>
  <si>
    <t>Counter 2</t>
  </si>
  <si>
    <t>&gt;=1000</t>
  </si>
  <si>
    <t>μ</t>
  </si>
  <si>
    <t>/hr</t>
  </si>
  <si>
    <t>λ</t>
  </si>
  <si>
    <t>ρ</t>
  </si>
  <si>
    <t>Average Time</t>
  </si>
  <si>
    <t>hr</t>
  </si>
  <si>
    <t>min</t>
  </si>
  <si>
    <t>(b)</t>
  </si>
  <si>
    <t>c</t>
  </si>
  <si>
    <t xml:space="preserve">                                                                                                                                                                                                     </t>
  </si>
  <si>
    <t>Now, it works as M|M|2 model so;</t>
  </si>
  <si>
    <r>
      <t>p</t>
    </r>
    <r>
      <rPr>
        <vertAlign val="subscript"/>
        <sz val="11"/>
        <color theme="1"/>
        <rFont val="Calibri"/>
        <family val="2"/>
        <scheme val="minor"/>
      </rPr>
      <t>0</t>
    </r>
  </si>
  <si>
    <t>/min</t>
  </si>
  <si>
    <t>Service channel remain busy</t>
  </si>
  <si>
    <r>
      <t>p</t>
    </r>
    <r>
      <rPr>
        <vertAlign val="subscript"/>
        <sz val="11"/>
        <color theme="1"/>
        <rFont val="Calibri"/>
        <family val="2"/>
        <scheme val="minor"/>
      </rPr>
      <t>1</t>
    </r>
  </si>
  <si>
    <r>
      <t>(c) L</t>
    </r>
    <r>
      <rPr>
        <vertAlign val="subscript"/>
        <sz val="11"/>
        <color theme="1"/>
        <rFont val="Calibri"/>
        <family val="2"/>
      </rPr>
      <t>q</t>
    </r>
  </si>
  <si>
    <r>
      <t>L</t>
    </r>
    <r>
      <rPr>
        <vertAlign val="subscript"/>
        <sz val="11"/>
        <color theme="1"/>
        <rFont val="Calibri"/>
        <family val="2"/>
      </rPr>
      <t>s</t>
    </r>
  </si>
  <si>
    <t>Let λ be any number to solve this ques further, suppose λ=10</t>
  </si>
  <si>
    <r>
      <t>L</t>
    </r>
    <r>
      <rPr>
        <vertAlign val="subscript"/>
        <sz val="11"/>
        <color theme="1"/>
        <rFont val="Calibri"/>
        <family val="2"/>
      </rPr>
      <t>q</t>
    </r>
  </si>
  <si>
    <t>Lq</t>
  </si>
  <si>
    <t>L'q</t>
  </si>
  <si>
    <t>μ'</t>
  </si>
  <si>
    <t>Average time required by each patient</t>
  </si>
  <si>
    <t>required to attend a patient</t>
  </si>
  <si>
    <t>∴ budget required for each patient</t>
  </si>
  <si>
    <t>Probability that the waiting time in the queue is greater than T.</t>
  </si>
  <si>
    <t>per hour</t>
  </si>
  <si>
    <t>P(W&gt;T)=ρe^(-T/Ws)=(λμ)e^(−(μ−λ)T)</t>
  </si>
  <si>
    <t>0.05=(20/μ)*e^(−(μ−20)*(1/3))</t>
  </si>
  <si>
    <t>e^((1/3)*(μ−20))=0.05*μ/20</t>
  </si>
  <si>
    <t>μ = 27.98 customer/hour</t>
  </si>
  <si>
    <t>Service Rate (μ)</t>
  </si>
  <si>
    <t>ships/day</t>
  </si>
  <si>
    <t>Arrival Rate (λ)</t>
  </si>
  <si>
    <r>
      <t>μ</t>
    </r>
    <r>
      <rPr>
        <vertAlign val="subscript"/>
        <sz val="11"/>
        <color theme="1"/>
        <rFont val="Calibri"/>
        <family val="2"/>
      </rPr>
      <t xml:space="preserve">n </t>
    </r>
    <r>
      <rPr>
        <sz val="11"/>
        <color theme="1"/>
        <rFont val="Calibri"/>
        <family val="2"/>
      </rPr>
      <t>= n*μ</t>
    </r>
    <r>
      <rPr>
        <vertAlign val="subscript"/>
        <sz val="11"/>
        <color theme="1"/>
        <rFont val="Calibri"/>
        <family val="2"/>
      </rPr>
      <t xml:space="preserve"> </t>
    </r>
  </si>
  <si>
    <t>The probability that more than 4 crews will be needed is the same as probability that there are at lest 5 ships in the system at any specifed time which is given by</t>
  </si>
  <si>
    <r>
      <t>p</t>
    </r>
    <r>
      <rPr>
        <vertAlign val="subscript"/>
        <sz val="11"/>
        <color theme="1"/>
        <rFont val="Calibri"/>
        <family val="2"/>
        <scheme val="minor"/>
      </rPr>
      <t>2</t>
    </r>
    <r>
      <rPr>
        <sz val="11"/>
        <color theme="1"/>
        <rFont val="Calibri"/>
        <family val="2"/>
        <scheme val="minor"/>
      </rPr>
      <t/>
    </r>
  </si>
  <si>
    <r>
      <t>p</t>
    </r>
    <r>
      <rPr>
        <vertAlign val="subscript"/>
        <sz val="11"/>
        <color theme="1"/>
        <rFont val="Calibri"/>
        <family val="2"/>
        <scheme val="minor"/>
      </rPr>
      <t>3</t>
    </r>
    <r>
      <rPr>
        <sz val="11"/>
        <color theme="1"/>
        <rFont val="Calibri"/>
        <family val="2"/>
        <scheme val="minor"/>
      </rPr>
      <t/>
    </r>
  </si>
  <si>
    <r>
      <t>p</t>
    </r>
    <r>
      <rPr>
        <vertAlign val="subscript"/>
        <sz val="11"/>
        <color theme="1"/>
        <rFont val="Calibri"/>
        <family val="2"/>
        <scheme val="minor"/>
      </rPr>
      <t>4</t>
    </r>
    <r>
      <rPr>
        <sz val="11"/>
        <color theme="1"/>
        <rFont val="Calibri"/>
        <family val="2"/>
        <scheme val="minor"/>
      </rPr>
      <t/>
    </r>
  </si>
  <si>
    <t>Total</t>
  </si>
  <si>
    <t>Expected number of unloading crews</t>
  </si>
  <si>
    <t>Prob that more than 4 crews will be needed</t>
  </si>
  <si>
    <t>Constant failure rate implies an exponential distribution, i.e,</t>
  </si>
  <si>
    <t>f(t)=λ*exp(-λ*t)</t>
  </si>
  <si>
    <t>F(t)=1-exp(-λ*t)</t>
  </si>
  <si>
    <t>MTTF = 1/λ</t>
  </si>
  <si>
    <t>To determine failure rate "λ"</t>
  </si>
  <si>
    <t>P(T&gt;100)</t>
  </si>
  <si>
    <t>P(T&gt;500)</t>
  </si>
  <si>
    <t>P(T&lt;=1000 | T&gt;500)</t>
  </si>
  <si>
    <t>P(500&lt;=T&lt;=1000)/P(T&gt;500)</t>
  </si>
  <si>
    <t>P(T&lt;=1000)-P(T&lt;=500)/(1-P(T&lt;=500)</t>
  </si>
  <si>
    <t>Constant failure rate immplies an exponential distribution.i.e</t>
  </si>
  <si>
    <t>f(t) = λ*exp(-λ*t)</t>
  </si>
  <si>
    <t>F(t) = 1-exp(-λ*t)</t>
  </si>
  <si>
    <t>(given)</t>
  </si>
  <si>
    <t>t</t>
  </si>
  <si>
    <t>months</t>
  </si>
  <si>
    <t>days</t>
  </si>
  <si>
    <t>hours</t>
  </si>
  <si>
    <t>P(T&gt;1440)</t>
  </si>
  <si>
    <t>MTTF</t>
  </si>
  <si>
    <t>P(T&gt;40000)</t>
  </si>
  <si>
    <t>Total Failure Rate</t>
  </si>
  <si>
    <t>failure per day</t>
  </si>
  <si>
    <t>since, the failure model has a constant failure rate, the distribution corresponds to exponential distribution</t>
  </si>
  <si>
    <t xml:space="preserve">t </t>
  </si>
  <si>
    <t>P(T&gt;90)</t>
  </si>
  <si>
    <t>P(X&gt;x)</t>
  </si>
  <si>
    <t>x</t>
  </si>
  <si>
    <t>Hence, the mean time to critcal failure is 5444.44 days.</t>
  </si>
  <si>
    <t>a)</t>
  </si>
  <si>
    <t>b)</t>
  </si>
  <si>
    <t>c)</t>
  </si>
  <si>
    <t>customer/hr</t>
  </si>
  <si>
    <t>n</t>
  </si>
  <si>
    <t>μ(customer/hr)</t>
  </si>
  <si>
    <t>counters</t>
  </si>
  <si>
    <t>&gt;7</t>
  </si>
  <si>
    <t>idle counter</t>
  </si>
  <si>
    <t>no. of idle counter</t>
  </si>
  <si>
    <r>
      <t>p</t>
    </r>
    <r>
      <rPr>
        <vertAlign val="subscript"/>
        <sz val="11"/>
        <color theme="1"/>
        <rFont val="Calibri"/>
        <family val="2"/>
        <scheme val="minor"/>
      </rPr>
      <t>n</t>
    </r>
  </si>
  <si>
    <t>sum_elem</t>
  </si>
  <si>
    <t>Avg no. of Busy Counter</t>
  </si>
  <si>
    <t>Avg no. Ideal Counters</t>
  </si>
  <si>
    <t>P(n&lt;=k)</t>
  </si>
  <si>
    <t>The cafeteria must have 7 seats to accomodate each customer with probability 0.95</t>
  </si>
</sst>
</file>

<file path=xl/styles.xml><?xml version="1.0" encoding="utf-8"?>
<styleSheet xmlns="http://schemas.openxmlformats.org/spreadsheetml/2006/main">
  <numFmts count="3">
    <numFmt numFmtId="164" formatCode="0.000"/>
    <numFmt numFmtId="165" formatCode="0.000000"/>
    <numFmt numFmtId="166" formatCode="0.00000"/>
  </numFmts>
  <fonts count="15">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vertAlign val="subscript"/>
      <sz val="11"/>
      <color theme="1"/>
      <name val="Calibri"/>
      <family val="2"/>
      <scheme val="minor"/>
    </font>
    <font>
      <vertAlign val="subscript"/>
      <sz val="11"/>
      <color theme="1"/>
      <name val="Calibri"/>
      <family val="2"/>
    </font>
    <font>
      <u/>
      <sz val="11"/>
      <color theme="10"/>
      <name val="Calibri"/>
      <family val="2"/>
      <scheme val="minor"/>
    </font>
    <font>
      <sz val="11"/>
      <color rgb="FF333333"/>
      <name val="Arial"/>
      <family val="2"/>
    </font>
    <font>
      <sz val="12"/>
      <color rgb="FF333333"/>
      <name val="GothamSSm"/>
    </font>
    <font>
      <sz val="12"/>
      <color rgb="FF333333"/>
      <name val="Inherit"/>
    </font>
    <font>
      <sz val="12"/>
      <color theme="1"/>
      <name val="Calibri"/>
      <family val="2"/>
      <scheme val="minor"/>
    </font>
    <font>
      <sz val="11"/>
      <color rgb="FFFF0000"/>
      <name val="Calibri"/>
      <family val="2"/>
      <scheme val="minor"/>
    </font>
    <font>
      <sz val="11"/>
      <color theme="1" tint="4.9989318521683403E-2"/>
      <name val="Calibri"/>
      <family val="2"/>
      <scheme val="minor"/>
    </font>
  </fonts>
  <fills count="17">
    <fill>
      <patternFill patternType="none"/>
    </fill>
    <fill>
      <patternFill patternType="gray125"/>
    </fill>
    <fill>
      <patternFill patternType="solid">
        <fgColor theme="9" tint="0.39997558519241921"/>
        <bgColor indexed="64"/>
      </patternFill>
    </fill>
    <fill>
      <patternFill patternType="solid">
        <fgColor rgb="FFA9D08E"/>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B0F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9">
    <xf numFmtId="0" fontId="0" fillId="0" borderId="0"/>
    <xf numFmtId="9" fontId="1" fillId="0" borderId="0" applyFont="0" applyFill="0" applyBorder="0" applyAlignment="0" applyProtection="0"/>
    <xf numFmtId="0" fontId="3" fillId="0" borderId="0"/>
    <xf numFmtId="0" fontId="1" fillId="0" borderId="0"/>
    <xf numFmtId="9" fontId="3" fillId="0" borderId="0" applyFont="0" applyFill="0" applyBorder="0" applyAlignment="0" applyProtection="0"/>
    <xf numFmtId="0" fontId="8" fillId="0" borderId="0" applyNumberFormat="0" applyFill="0" applyBorder="0" applyAlignment="0" applyProtection="0"/>
    <xf numFmtId="0" fontId="1" fillId="0" borderId="0"/>
    <xf numFmtId="0" fontId="1" fillId="0" borderId="0"/>
    <xf numFmtId="0" fontId="1" fillId="0" borderId="0"/>
  </cellStyleXfs>
  <cellXfs count="119">
    <xf numFmtId="0" fontId="0" fillId="0" borderId="0" xfId="0"/>
    <xf numFmtId="0" fontId="3" fillId="0" borderId="0" xfId="2" applyAlignment="1">
      <alignment horizontal="right"/>
    </xf>
    <xf numFmtId="0" fontId="2" fillId="2" borderId="1" xfId="3" applyFont="1" applyFill="1" applyBorder="1"/>
    <xf numFmtId="0" fontId="3" fillId="0" borderId="0" xfId="2"/>
    <xf numFmtId="0" fontId="5" fillId="2" borderId="1" xfId="3" applyFont="1" applyFill="1" applyBorder="1"/>
    <xf numFmtId="0" fontId="1" fillId="2" borderId="1" xfId="3" applyFill="1" applyBorder="1"/>
    <xf numFmtId="0" fontId="5" fillId="3" borderId="1" xfId="2" applyFont="1" applyFill="1" applyBorder="1"/>
    <xf numFmtId="0" fontId="5" fillId="2" borderId="5" xfId="3" applyFont="1" applyFill="1" applyBorder="1"/>
    <xf numFmtId="0" fontId="1" fillId="2" borderId="1" xfId="3" applyFont="1" applyFill="1" applyBorder="1"/>
    <xf numFmtId="0" fontId="5" fillId="0" borderId="0" xfId="3" applyFont="1" applyFill="1" applyBorder="1"/>
    <xf numFmtId="2" fontId="3" fillId="0" borderId="0" xfId="2" applyNumberFormat="1" applyFill="1" applyBorder="1"/>
    <xf numFmtId="0" fontId="3" fillId="0" borderId="0" xfId="2" applyFill="1" applyBorder="1"/>
    <xf numFmtId="0" fontId="1" fillId="0" borderId="0" xfId="3" applyFont="1" applyFill="1" applyBorder="1"/>
    <xf numFmtId="0" fontId="5" fillId="0" borderId="0" xfId="2" applyFont="1" applyFill="1" applyBorder="1"/>
    <xf numFmtId="2" fontId="4" fillId="4" borderId="1" xfId="2" applyNumberFormat="1" applyFont="1" applyFill="1" applyBorder="1"/>
    <xf numFmtId="0" fontId="3" fillId="4" borderId="1" xfId="2" applyFill="1" applyBorder="1"/>
    <xf numFmtId="2" fontId="3" fillId="4" borderId="1" xfId="2" applyNumberFormat="1" applyFill="1" applyBorder="1"/>
    <xf numFmtId="2" fontId="3" fillId="5" borderId="1" xfId="2" applyNumberFormat="1" applyFill="1" applyBorder="1"/>
    <xf numFmtId="0" fontId="3" fillId="6" borderId="0" xfId="2" applyFill="1" applyAlignment="1">
      <alignment horizontal="right"/>
    </xf>
    <xf numFmtId="9" fontId="0" fillId="4" borderId="1" xfId="1" applyFont="1" applyFill="1" applyBorder="1" applyAlignment="1"/>
    <xf numFmtId="2" fontId="0" fillId="4" borderId="1" xfId="4" applyNumberFormat="1" applyFont="1" applyFill="1" applyBorder="1" applyAlignment="1"/>
    <xf numFmtId="2" fontId="0" fillId="5" borderId="1" xfId="4" applyNumberFormat="1" applyFont="1" applyFill="1" applyBorder="1" applyAlignment="1"/>
    <xf numFmtId="2" fontId="3" fillId="4" borderId="5" xfId="2" applyNumberFormat="1" applyFill="1" applyBorder="1"/>
    <xf numFmtId="0" fontId="3" fillId="4" borderId="5" xfId="2" applyFill="1" applyBorder="1"/>
    <xf numFmtId="0" fontId="9" fillId="0" borderId="0" xfId="0" applyFont="1"/>
    <xf numFmtId="0" fontId="8" fillId="0" borderId="0" xfId="5"/>
    <xf numFmtId="0" fontId="2" fillId="0" borderId="0" xfId="0" applyFont="1"/>
    <xf numFmtId="0" fontId="0" fillId="0" borderId="0" xfId="0" applyFont="1"/>
    <xf numFmtId="0" fontId="5" fillId="2" borderId="1" xfId="0" applyFont="1" applyFill="1" applyBorder="1"/>
    <xf numFmtId="0" fontId="0" fillId="2" borderId="1" xfId="0" applyFill="1" applyBorder="1"/>
    <xf numFmtId="0" fontId="3" fillId="2" borderId="1" xfId="0" applyFont="1" applyFill="1" applyBorder="1"/>
    <xf numFmtId="0" fontId="9" fillId="6" borderId="1" xfId="0" applyFont="1" applyFill="1" applyBorder="1"/>
    <xf numFmtId="0" fontId="0" fillId="6" borderId="1" xfId="0" applyFont="1" applyFill="1" applyBorder="1"/>
    <xf numFmtId="0" fontId="2" fillId="6" borderId="1" xfId="0" applyFont="1" applyFill="1" applyBorder="1"/>
    <xf numFmtId="0" fontId="11" fillId="0" borderId="0" xfId="0" applyFont="1"/>
    <xf numFmtId="0" fontId="10" fillId="0" borderId="0" xfId="0" applyFont="1"/>
    <xf numFmtId="0" fontId="12" fillId="0" borderId="0" xfId="0" applyFont="1"/>
    <xf numFmtId="0" fontId="11" fillId="7" borderId="1" xfId="0" applyFont="1" applyFill="1" applyBorder="1"/>
    <xf numFmtId="0" fontId="12" fillId="7" borderId="1" xfId="0" applyFont="1" applyFill="1" applyBorder="1"/>
    <xf numFmtId="0" fontId="10" fillId="7" borderId="1" xfId="0" applyFont="1" applyFill="1" applyBorder="1"/>
    <xf numFmtId="0" fontId="0" fillId="7" borderId="1" xfId="0" applyFont="1" applyFill="1" applyBorder="1"/>
    <xf numFmtId="0" fontId="11" fillId="2" borderId="1" xfId="0" applyFont="1" applyFill="1" applyBorder="1"/>
    <xf numFmtId="0" fontId="12" fillId="2" borderId="1" xfId="0" applyFont="1" applyFill="1" applyBorder="1"/>
    <xf numFmtId="0" fontId="11" fillId="6" borderId="6" xfId="0" applyFont="1" applyFill="1" applyBorder="1"/>
    <xf numFmtId="0" fontId="12" fillId="6" borderId="7" xfId="0" applyFont="1" applyFill="1" applyBorder="1"/>
    <xf numFmtId="0" fontId="12" fillId="6" borderId="8" xfId="0" applyFont="1" applyFill="1" applyBorder="1"/>
    <xf numFmtId="0" fontId="12" fillId="6" borderId="9" xfId="0" applyFont="1" applyFill="1" applyBorder="1"/>
    <xf numFmtId="0" fontId="12" fillId="6" borderId="0" xfId="0" applyFont="1" applyFill="1" applyBorder="1"/>
    <xf numFmtId="0" fontId="12" fillId="6" borderId="10" xfId="0" applyFont="1" applyFill="1" applyBorder="1"/>
    <xf numFmtId="0" fontId="11" fillId="6" borderId="9" xfId="0" applyFont="1" applyFill="1" applyBorder="1"/>
    <xf numFmtId="0" fontId="11" fillId="6" borderId="11" xfId="0" applyFont="1" applyFill="1" applyBorder="1"/>
    <xf numFmtId="0" fontId="12" fillId="6" borderId="12" xfId="0" applyFont="1" applyFill="1" applyBorder="1"/>
    <xf numFmtId="0" fontId="12" fillId="6" borderId="13" xfId="0" applyFont="1" applyFill="1" applyBorder="1"/>
    <xf numFmtId="0" fontId="1" fillId="3" borderId="1" xfId="6" applyFont="1" applyFill="1" applyBorder="1"/>
    <xf numFmtId="0" fontId="1" fillId="0" borderId="0" xfId="6"/>
    <xf numFmtId="0" fontId="5" fillId="2" borderId="1" xfId="6" applyFont="1" applyFill="1" applyBorder="1"/>
    <xf numFmtId="0" fontId="1" fillId="10" borderId="1" xfId="6" applyFill="1" applyBorder="1"/>
    <xf numFmtId="0" fontId="1" fillId="8" borderId="1" xfId="6" applyFill="1" applyBorder="1"/>
    <xf numFmtId="0" fontId="1" fillId="2" borderId="1" xfId="7" applyFill="1" applyBorder="1"/>
    <xf numFmtId="0" fontId="1" fillId="11" borderId="0" xfId="7" applyFill="1"/>
    <xf numFmtId="0" fontId="0" fillId="0" borderId="1" xfId="0" applyBorder="1"/>
    <xf numFmtId="0" fontId="1" fillId="0" borderId="0" xfId="7" applyFill="1" applyBorder="1"/>
    <xf numFmtId="0" fontId="1" fillId="12" borderId="1" xfId="7" applyFill="1" applyBorder="1"/>
    <xf numFmtId="0" fontId="0" fillId="12" borderId="1" xfId="0" applyFill="1" applyBorder="1"/>
    <xf numFmtId="0" fontId="1" fillId="13" borderId="1" xfId="7" applyFill="1" applyBorder="1"/>
    <xf numFmtId="0" fontId="0" fillId="13" borderId="1" xfId="0" applyFill="1" applyBorder="1"/>
    <xf numFmtId="0" fontId="1" fillId="15" borderId="1" xfId="7" applyFill="1" applyBorder="1"/>
    <xf numFmtId="0" fontId="0" fillId="15" borderId="1" xfId="0" applyFill="1" applyBorder="1"/>
    <xf numFmtId="0" fontId="1" fillId="6" borderId="1" xfId="7" applyFill="1" applyBorder="1"/>
    <xf numFmtId="0" fontId="0" fillId="6" borderId="1" xfId="0" applyFill="1" applyBorder="1"/>
    <xf numFmtId="0" fontId="1" fillId="15" borderId="1" xfId="7" applyFont="1" applyFill="1" applyBorder="1"/>
    <xf numFmtId="0" fontId="0" fillId="15" borderId="5" xfId="0" applyFill="1" applyBorder="1"/>
    <xf numFmtId="0" fontId="13" fillId="0" borderId="0" xfId="0" applyFont="1" applyFill="1" applyBorder="1"/>
    <xf numFmtId="0" fontId="1" fillId="2" borderId="1" xfId="6" applyFont="1" applyFill="1" applyBorder="1"/>
    <xf numFmtId="0" fontId="1" fillId="2" borderId="1" xfId="6" applyFill="1" applyBorder="1" applyAlignment="1">
      <alignment wrapText="1"/>
    </xf>
    <xf numFmtId="0" fontId="1" fillId="2" borderId="1" xfId="6" applyFill="1" applyBorder="1"/>
    <xf numFmtId="0" fontId="1" fillId="14" borderId="1" xfId="6" applyFill="1" applyBorder="1"/>
    <xf numFmtId="0" fontId="5" fillId="2" borderId="1" xfId="8" applyFont="1" applyFill="1" applyBorder="1"/>
    <xf numFmtId="0" fontId="1" fillId="3" borderId="1" xfId="8" applyFill="1" applyBorder="1"/>
    <xf numFmtId="2" fontId="1" fillId="6" borderId="1" xfId="8" applyNumberFormat="1" applyFill="1" applyBorder="1"/>
    <xf numFmtId="0" fontId="1" fillId="6" borderId="1" xfId="8" applyFill="1" applyBorder="1"/>
    <xf numFmtId="0" fontId="1" fillId="6" borderId="1" xfId="6" applyFill="1" applyBorder="1"/>
    <xf numFmtId="2" fontId="1" fillId="6" borderId="1" xfId="6" applyNumberFormat="1" applyFill="1" applyBorder="1"/>
    <xf numFmtId="164" fontId="1" fillId="6" borderId="1" xfId="6" applyNumberFormat="1" applyFill="1" applyBorder="1"/>
    <xf numFmtId="0" fontId="0" fillId="6" borderId="5" xfId="0" applyFill="1" applyBorder="1"/>
    <xf numFmtId="0" fontId="0" fillId="10" borderId="1" xfId="0" applyFill="1" applyBorder="1" applyAlignment="1">
      <alignment horizontal="right"/>
    </xf>
    <xf numFmtId="0" fontId="14" fillId="10" borderId="1" xfId="0" applyFont="1" applyFill="1" applyBorder="1" applyAlignment="1">
      <alignment horizontal="right"/>
    </xf>
    <xf numFmtId="165" fontId="1" fillId="6" borderId="1" xfId="6" applyNumberFormat="1" applyFill="1" applyBorder="1"/>
    <xf numFmtId="166" fontId="1" fillId="6" borderId="1" xfId="6" applyNumberFormat="1" applyFill="1" applyBorder="1"/>
    <xf numFmtId="1" fontId="1" fillId="6" borderId="1" xfId="6" applyNumberFormat="1" applyFill="1" applyBorder="1"/>
    <xf numFmtId="166" fontId="1" fillId="16" borderId="1" xfId="6" applyNumberFormat="1" applyFill="1" applyBorder="1"/>
    <xf numFmtId="0" fontId="3" fillId="2" borderId="2" xfId="2" applyFill="1" applyBorder="1" applyAlignment="1">
      <alignment horizontal="left"/>
    </xf>
    <xf numFmtId="0" fontId="3" fillId="2" borderId="3" xfId="2" applyFill="1" applyBorder="1" applyAlignment="1">
      <alignment horizontal="left"/>
    </xf>
    <xf numFmtId="0" fontId="3" fillId="2" borderId="4" xfId="2" applyFill="1" applyBorder="1" applyAlignment="1">
      <alignment horizontal="left"/>
    </xf>
    <xf numFmtId="0" fontId="3" fillId="4" borderId="1" xfId="2" applyFont="1" applyFill="1" applyBorder="1" applyAlignment="1">
      <alignment horizontal="left"/>
    </xf>
    <xf numFmtId="0" fontId="3" fillId="5" borderId="1" xfId="2" applyFont="1" applyFill="1" applyBorder="1" applyAlignment="1">
      <alignment horizontal="left"/>
    </xf>
    <xf numFmtId="0" fontId="5" fillId="0" borderId="0" xfId="3" applyFont="1" applyFill="1" applyBorder="1" applyAlignment="1">
      <alignment horizontal="left"/>
    </xf>
    <xf numFmtId="0" fontId="5" fillId="2" borderId="1" xfId="3" applyFont="1" applyFill="1" applyBorder="1" applyAlignment="1">
      <alignment horizontal="left"/>
    </xf>
    <xf numFmtId="0" fontId="5" fillId="8" borderId="2" xfId="6" applyFont="1" applyFill="1" applyBorder="1" applyAlignment="1">
      <alignment horizontal="left"/>
    </xf>
    <xf numFmtId="0" fontId="1" fillId="8" borderId="3" xfId="6" applyFill="1" applyBorder="1" applyAlignment="1">
      <alignment horizontal="left"/>
    </xf>
    <xf numFmtId="0" fontId="1" fillId="8" borderId="4" xfId="6" applyFill="1" applyBorder="1" applyAlignment="1">
      <alignment horizontal="left"/>
    </xf>
    <xf numFmtId="0" fontId="0" fillId="9" borderId="2" xfId="0" applyFill="1" applyBorder="1" applyAlignment="1">
      <alignment horizontal="center"/>
    </xf>
    <xf numFmtId="0" fontId="0" fillId="9" borderId="3" xfId="0" applyFill="1" applyBorder="1" applyAlignment="1">
      <alignment horizontal="center"/>
    </xf>
    <xf numFmtId="0" fontId="0" fillId="9" borderId="4" xfId="0" applyFill="1" applyBorder="1" applyAlignment="1">
      <alignment horizontal="center"/>
    </xf>
    <xf numFmtId="0" fontId="5" fillId="2" borderId="2" xfId="6" applyFont="1" applyFill="1" applyBorder="1" applyAlignment="1">
      <alignment horizontal="right"/>
    </xf>
    <xf numFmtId="0" fontId="5" fillId="2" borderId="4" xfId="6" applyFont="1" applyFill="1" applyBorder="1" applyAlignment="1">
      <alignment horizontal="right"/>
    </xf>
    <xf numFmtId="0" fontId="1" fillId="2" borderId="1" xfId="6" applyFill="1" applyBorder="1" applyAlignment="1">
      <alignment horizontal="left"/>
    </xf>
    <xf numFmtId="0" fontId="1" fillId="2" borderId="1" xfId="6" applyFill="1" applyBorder="1" applyAlignment="1">
      <alignment horizontal="left" wrapText="1"/>
    </xf>
    <xf numFmtId="0" fontId="1" fillId="15" borderId="1" xfId="7" applyFill="1" applyBorder="1" applyAlignment="1">
      <alignment horizontal="center"/>
    </xf>
    <xf numFmtId="0" fontId="1" fillId="2" borderId="1" xfId="7" applyFont="1" applyFill="1" applyBorder="1" applyAlignment="1">
      <alignment horizontal="left"/>
    </xf>
    <xf numFmtId="0" fontId="1" fillId="2" borderId="1" xfId="7" applyFill="1" applyBorder="1" applyAlignment="1">
      <alignment horizontal="left"/>
    </xf>
    <xf numFmtId="0" fontId="0" fillId="15" borderId="1" xfId="0" applyFill="1" applyBorder="1" applyAlignment="1">
      <alignment horizontal="left"/>
    </xf>
    <xf numFmtId="0" fontId="1" fillId="2" borderId="2" xfId="6" applyFill="1" applyBorder="1" applyAlignment="1">
      <alignment horizontal="center"/>
    </xf>
    <xf numFmtId="0" fontId="1" fillId="2" borderId="3" xfId="6" applyFill="1" applyBorder="1" applyAlignment="1">
      <alignment horizontal="center"/>
    </xf>
    <xf numFmtId="0" fontId="1" fillId="2" borderId="4" xfId="6" applyFill="1" applyBorder="1" applyAlignment="1">
      <alignment horizontal="center"/>
    </xf>
    <xf numFmtId="0" fontId="1" fillId="2" borderId="2" xfId="8" applyFill="1" applyBorder="1" applyAlignment="1">
      <alignment horizontal="center"/>
    </xf>
    <xf numFmtId="0" fontId="1" fillId="2" borderId="3" xfId="8" applyFill="1" applyBorder="1" applyAlignment="1">
      <alignment horizontal="center"/>
    </xf>
    <xf numFmtId="0" fontId="1" fillId="2" borderId="4" xfId="8" applyFill="1" applyBorder="1" applyAlignment="1">
      <alignment horizontal="center"/>
    </xf>
    <xf numFmtId="0" fontId="1" fillId="3" borderId="1" xfId="8" applyFill="1" applyBorder="1" applyAlignment="1">
      <alignment horizontal="left"/>
    </xf>
  </cellXfs>
  <cellStyles count="9">
    <cellStyle name="Hyperlink" xfId="5" builtinId="8"/>
    <cellStyle name="Normal" xfId="0" builtinId="0"/>
    <cellStyle name="Normal 2" xfId="2"/>
    <cellStyle name="Normal 2 2" xfId="3"/>
    <cellStyle name="Normal 2 2 3" xfId="8"/>
    <cellStyle name="Normal 2 3" xfId="6"/>
    <cellStyle name="Normal 3" xfId="7"/>
    <cellStyle name="Per cent 2" xfId="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21</xdr:col>
      <xdr:colOff>571500</xdr:colOff>
      <xdr:row>24</xdr:row>
      <xdr:rowOff>152400</xdr:rowOff>
    </xdr:to>
    <xdr:sp macro="" textlink="">
      <xdr:nvSpPr>
        <xdr:cNvPr id="2" name="TextBox 1"/>
        <xdr:cNvSpPr txBox="1"/>
      </xdr:nvSpPr>
      <xdr:spPr>
        <a:xfrm>
          <a:off x="0" y="9525"/>
          <a:ext cx="13373100" cy="4714875"/>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latin typeface="Arial Black" panose="020B0A04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9</xdr:col>
      <xdr:colOff>285749</xdr:colOff>
      <xdr:row>6</xdr:row>
      <xdr:rowOff>76200</xdr:rowOff>
    </xdr:to>
    <xdr:sp macro="" textlink="">
      <xdr:nvSpPr>
        <xdr:cNvPr id="2" name="TextBox 1"/>
        <xdr:cNvSpPr txBox="1"/>
      </xdr:nvSpPr>
      <xdr:spPr>
        <a:xfrm>
          <a:off x="0" y="28575"/>
          <a:ext cx="5772149" cy="11906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On average 96 patients per 24-hour day require the service of an emergency clinic, also on average a</a:t>
          </a:r>
          <a:r>
            <a:rPr lang="en-IN" sz="1100" baseline="0"/>
            <a:t> </a:t>
          </a:r>
          <a:r>
            <a:rPr lang="en-IN" sz="1100"/>
            <a:t>patient requires 10 minutes of active attention. Assume that the facility can handle only 1</a:t>
          </a:r>
          <a:r>
            <a:rPr lang="en-IN" sz="1100" baseline="0"/>
            <a:t> </a:t>
          </a:r>
          <a:r>
            <a:rPr lang="en-IN" sz="1100"/>
            <a:t>emergency at a time. The cost of cleaning is Rs. 100/person treated to obtain an average servicing</a:t>
          </a:r>
          <a:r>
            <a:rPr lang="en-IN" sz="1100" baseline="0"/>
            <a:t> </a:t>
          </a:r>
          <a:r>
            <a:rPr lang="en-IN" sz="1100"/>
            <a:t>time of 10min and each min of decrease in this average time would cost Rs. 10/ patient treated. How</a:t>
          </a:r>
          <a:r>
            <a:rPr lang="en-IN" sz="1100" baseline="0"/>
            <a:t> </a:t>
          </a:r>
          <a:r>
            <a:rPr lang="en-IN" sz="1100"/>
            <a:t>much would have to be budgeted to  decrease the average size of the queue</a:t>
          </a:r>
          <a:r>
            <a:rPr lang="en-IN" sz="1100" baseline="0"/>
            <a:t> </a:t>
          </a:r>
          <a:r>
            <a:rPr lang="en-IN" sz="1100"/>
            <a:t>from 4/3 patient to 1/2 patient.&amp;quot;</a:t>
          </a:r>
        </a:p>
      </xdr:txBody>
    </xdr:sp>
    <xdr:clientData/>
  </xdr:twoCellAnchor>
  <xdr:twoCellAnchor>
    <xdr:from>
      <xdr:col>1</xdr:col>
      <xdr:colOff>19049</xdr:colOff>
      <xdr:row>11</xdr:row>
      <xdr:rowOff>28575</xdr:rowOff>
    </xdr:from>
    <xdr:to>
      <xdr:col>3</xdr:col>
      <xdr:colOff>95250</xdr:colOff>
      <xdr:row>12</xdr:row>
      <xdr:rowOff>133350</xdr:rowOff>
    </xdr:to>
    <xdr:sp macro="" textlink="">
      <xdr:nvSpPr>
        <xdr:cNvPr id="3" name="TextBox 2"/>
        <xdr:cNvSpPr txBox="1"/>
      </xdr:nvSpPr>
      <xdr:spPr>
        <a:xfrm>
          <a:off x="628649" y="2124075"/>
          <a:ext cx="1295401" cy="2952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1/2=4^2/(</a:t>
          </a:r>
          <a:r>
            <a:rPr lang="el-GR" sz="1100" b="0" i="0" u="none" strike="noStrike">
              <a:solidFill>
                <a:schemeClr val="dk1"/>
              </a:solidFill>
              <a:effectLst/>
              <a:latin typeface="+mn-lt"/>
              <a:ea typeface="+mn-ea"/>
              <a:cs typeface="+mn-cs"/>
            </a:rPr>
            <a:t>μ</a:t>
          </a:r>
          <a:r>
            <a:rPr lang="en-US" sz="1100" b="0" i="0" u="none" strike="noStrike">
              <a:solidFill>
                <a:schemeClr val="dk1"/>
              </a:solidFill>
              <a:effectLst/>
              <a:latin typeface="+mn-lt"/>
              <a:ea typeface="+mn-ea"/>
              <a:cs typeface="+mn-cs"/>
            </a:rPr>
            <a:t>'(</a:t>
          </a:r>
          <a:r>
            <a:rPr lang="el-GR" sz="1100" b="0" i="0">
              <a:solidFill>
                <a:schemeClr val="dk1"/>
              </a:solidFill>
              <a:effectLst/>
              <a:latin typeface="+mn-lt"/>
              <a:ea typeface="+mn-ea"/>
              <a:cs typeface="+mn-cs"/>
            </a:rPr>
            <a:t>μ</a:t>
          </a:r>
          <a:r>
            <a:rPr lang="en-US" sz="1100" b="0" i="0">
              <a:solidFill>
                <a:schemeClr val="dk1"/>
              </a:solidFill>
              <a:effectLst/>
              <a:latin typeface="+mn-lt"/>
              <a:ea typeface="+mn-ea"/>
              <a:cs typeface="+mn-cs"/>
            </a:rPr>
            <a:t>'-4))</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228600</xdr:colOff>
      <xdr:row>6</xdr:row>
      <xdr:rowOff>123825</xdr:rowOff>
    </xdr:to>
    <xdr:sp macro="" textlink="">
      <xdr:nvSpPr>
        <xdr:cNvPr id="2" name="TextBox 1"/>
        <xdr:cNvSpPr txBox="1"/>
      </xdr:nvSpPr>
      <xdr:spPr>
        <a:xfrm>
          <a:off x="0" y="0"/>
          <a:ext cx="6934200" cy="12668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 bank has two counters for withdrawals. One counter handles withdrawals of value less than Rs. 1,000 and the other counter Rs. 1,000 and above. Analysis of service time shows an exponential distribution with mean service time of 6 minutes per customer for each counter. Arrival of customers follows Poisson distribution with mean 8 per hour for the first counter and 5 per hour for the second counter</a:t>
          </a:r>
          <a:r>
            <a:rPr lang="en-IN"/>
            <a:t> </a:t>
          </a:r>
        </a:p>
        <a:p>
          <a:r>
            <a:rPr lang="en-IN" sz="1100" b="0" i="0" u="none" strike="noStrike">
              <a:solidFill>
                <a:schemeClr val="dk1"/>
              </a:solidFill>
              <a:effectLst/>
              <a:latin typeface="+mn-lt"/>
              <a:ea typeface="+mn-ea"/>
              <a:cs typeface="+mn-cs"/>
            </a:rPr>
            <a:t>(a) What are the average waiting times per customer of each counter? </a:t>
          </a:r>
        </a:p>
        <a:p>
          <a:r>
            <a:rPr lang="en-IN" sz="1100" b="0" i="0" u="none" strike="noStrike">
              <a:solidFill>
                <a:schemeClr val="dk1"/>
              </a:solidFill>
              <a:effectLst/>
              <a:latin typeface="+mn-lt"/>
              <a:ea typeface="+mn-ea"/>
              <a:cs typeface="+mn-cs"/>
            </a:rPr>
            <a:t>(b)  If each counter could handle all withdrawals irrespective of their value, how would the average waiting time change?</a:t>
          </a:r>
          <a:r>
            <a:rPr lang="en-IN"/>
            <a:t> </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38100</xdr:rowOff>
    </xdr:from>
    <xdr:to>
      <xdr:col>8</xdr:col>
      <xdr:colOff>295275</xdr:colOff>
      <xdr:row>8</xdr:row>
      <xdr:rowOff>28575</xdr:rowOff>
    </xdr:to>
    <xdr:sp macro="" textlink="">
      <xdr:nvSpPr>
        <xdr:cNvPr id="2" name="TextBox 1"/>
        <xdr:cNvSpPr txBox="1"/>
      </xdr:nvSpPr>
      <xdr:spPr>
        <a:xfrm>
          <a:off x="0" y="38100"/>
          <a:ext cx="5172075" cy="15144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 supermarket has two girls ringing up sales at the counters. If the service time for each customer is exponential with mean 4 minutes, and if people arrive in a Poisson fashion at the rate of 10/hour,</a:t>
          </a:r>
        </a:p>
        <a:p>
          <a:r>
            <a:rPr lang="en-IN" sz="1100" b="0" i="0" u="none" strike="noStrike">
              <a:solidFill>
                <a:schemeClr val="dk1"/>
              </a:solidFill>
              <a:effectLst/>
              <a:latin typeface="+mn-lt"/>
              <a:ea typeface="+mn-ea"/>
              <a:cs typeface="+mn-cs"/>
            </a:rPr>
            <a:t>(a) What is the probability of having to wait for the service? </a:t>
          </a:r>
        </a:p>
        <a:p>
          <a:r>
            <a:rPr lang="en-IN" sz="1100" b="0" i="0" u="none" strike="noStrike">
              <a:solidFill>
                <a:schemeClr val="dk1"/>
              </a:solidFill>
              <a:effectLst/>
              <a:latin typeface="+mn-lt"/>
              <a:ea typeface="+mn-ea"/>
              <a:cs typeface="+mn-cs"/>
            </a:rPr>
            <a:t>(b)  What is the expected percentage of idle time for each girl?</a:t>
          </a:r>
          <a:r>
            <a:rPr lang="en-IN"/>
            <a:t> </a:t>
          </a:r>
        </a:p>
        <a:p>
          <a:r>
            <a:rPr lang="en-IN" sz="1100" b="0" i="0" u="none" strike="noStrike">
              <a:solidFill>
                <a:schemeClr val="dk1"/>
              </a:solidFill>
              <a:effectLst/>
              <a:latin typeface="+mn-lt"/>
              <a:ea typeface="+mn-ea"/>
              <a:cs typeface="+mn-cs"/>
            </a:rPr>
            <a:t>(c) Find the average queue length and the average number of units in the system.</a:t>
          </a:r>
          <a:r>
            <a:rPr lang="en-IN"/>
            <a:t> </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28575</xdr:rowOff>
    </xdr:from>
    <xdr:to>
      <xdr:col>8</xdr:col>
      <xdr:colOff>266700</xdr:colOff>
      <xdr:row>5</xdr:row>
      <xdr:rowOff>161925</xdr:rowOff>
    </xdr:to>
    <xdr:sp macro="" textlink="">
      <xdr:nvSpPr>
        <xdr:cNvPr id="2" name="TextBox 1"/>
        <xdr:cNvSpPr txBox="1"/>
      </xdr:nvSpPr>
      <xdr:spPr>
        <a:xfrm>
          <a:off x="0" y="28575"/>
          <a:ext cx="5143500" cy="10858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 telephone exchange has two long distant operators. The telephone company finds that during the fashion at an average rate of 15/hr. The length mean of 5 mins.</a:t>
          </a:r>
          <a:r>
            <a:rPr lang="en-IN"/>
            <a:t> </a:t>
          </a:r>
        </a:p>
        <a:p>
          <a:r>
            <a:rPr lang="en-IN" sz="1100" b="0" i="0" u="none" strike="noStrike">
              <a:solidFill>
                <a:schemeClr val="dk1"/>
              </a:solidFill>
              <a:effectLst/>
              <a:latin typeface="+mn-lt"/>
              <a:ea typeface="+mn-ea"/>
              <a:cs typeface="+mn-cs"/>
            </a:rPr>
            <a:t>(a) what is the probability that a subscriber will have to wait for his long distant dials on the peak hour of the day.</a:t>
          </a:r>
        </a:p>
        <a:p>
          <a:r>
            <a:rPr lang="en-IN" sz="1100" b="0" i="0" u="none" strike="noStrike">
              <a:solidFill>
                <a:schemeClr val="dk1"/>
              </a:solidFill>
              <a:effectLst/>
              <a:latin typeface="+mn-lt"/>
              <a:ea typeface="+mn-ea"/>
              <a:cs typeface="+mn-cs"/>
            </a:rPr>
            <a:t>(b) what is the average waiting time for the customers.</a:t>
          </a:r>
          <a:r>
            <a:rPr lang="en-IN"/>
            <a:t> </a:t>
          </a:r>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28574</xdr:rowOff>
    </xdr:from>
    <xdr:to>
      <xdr:col>10</xdr:col>
      <xdr:colOff>333375</xdr:colOff>
      <xdr:row>6</xdr:row>
      <xdr:rowOff>76199</xdr:rowOff>
    </xdr:to>
    <xdr:sp macro="" textlink="">
      <xdr:nvSpPr>
        <xdr:cNvPr id="2" name="TextBox 1"/>
        <xdr:cNvSpPr txBox="1"/>
      </xdr:nvSpPr>
      <xdr:spPr>
        <a:xfrm>
          <a:off x="0" y="28574"/>
          <a:ext cx="6429375" cy="11906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An insurance company has 3 clerks in its branch office. People arrive with claims against the company are found to arrive in a Poisson fashion at an average of 20 per 8 hours a day. The amount of time that a clerk spends with the client is found to have ED with a mean time of 40 mins. The clients are processed in the order of their appearance.</a:t>
          </a:r>
          <a:r>
            <a:rPr lang="en-IN"/>
            <a:t> </a:t>
          </a:r>
        </a:p>
        <a:p>
          <a:r>
            <a:rPr lang="en-IN" sz="1100" b="0" i="0" u="none" strike="noStrike">
              <a:solidFill>
                <a:schemeClr val="dk1"/>
              </a:solidFill>
              <a:effectLst/>
              <a:latin typeface="+mn-lt"/>
              <a:ea typeface="+mn-ea"/>
              <a:cs typeface="+mn-cs"/>
            </a:rPr>
            <a:t>(a) How many hours a week can a clerk expect to spend with the clients.</a:t>
          </a:r>
          <a:r>
            <a:rPr lang="en-IN"/>
            <a:t> </a:t>
          </a:r>
        </a:p>
        <a:p>
          <a:r>
            <a:rPr lang="en-IN" sz="1100" b="0" i="0" u="none" strike="noStrike">
              <a:solidFill>
                <a:schemeClr val="dk1"/>
              </a:solidFill>
              <a:effectLst/>
              <a:latin typeface="+mn-lt"/>
              <a:ea typeface="+mn-ea"/>
              <a:cs typeface="+mn-cs"/>
            </a:rPr>
            <a:t>(b) How much time an average does a client spend in the branch office.</a:t>
          </a:r>
          <a:r>
            <a:rPr lang="en-IN"/>
            <a:t> </a:t>
          </a:r>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9525</xdr:rowOff>
    </xdr:from>
    <xdr:to>
      <xdr:col>9</xdr:col>
      <xdr:colOff>0</xdr:colOff>
      <xdr:row>4</xdr:row>
      <xdr:rowOff>85725</xdr:rowOff>
    </xdr:to>
    <xdr:sp macro="" textlink="">
      <xdr:nvSpPr>
        <xdr:cNvPr id="2" name="TextBox 1"/>
        <xdr:cNvSpPr txBox="1"/>
      </xdr:nvSpPr>
      <xdr:spPr>
        <a:xfrm>
          <a:off x="0" y="9525"/>
          <a:ext cx="5486400" cy="8382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Customers arrive at an average rate of 20 per hour on a supermarket counter as per Poisson</a:t>
          </a:r>
        </a:p>
        <a:p>
          <a:r>
            <a:rPr lang="en-IN" sz="1100"/>
            <a:t>distribution. What will be the average service rate of the clerk on the counter to ensure that 95% of</a:t>
          </a:r>
          <a:r>
            <a:rPr lang="en-IN" sz="1100" baseline="0"/>
            <a:t> </a:t>
          </a:r>
          <a:r>
            <a:rPr lang="en-IN" sz="1100"/>
            <a:t>the customer will not have to wait for more than 20 minutes in the queue? (Service time has</a:t>
          </a:r>
          <a:r>
            <a:rPr lang="en-IN" sz="1100" baseline="0"/>
            <a:t> </a:t>
          </a:r>
          <a:r>
            <a:rPr lang="en-IN" sz="1100"/>
            <a:t>exponential distribution)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38101</xdr:rowOff>
    </xdr:from>
    <xdr:to>
      <xdr:col>8</xdr:col>
      <xdr:colOff>95250</xdr:colOff>
      <xdr:row>4</xdr:row>
      <xdr:rowOff>152401</xdr:rowOff>
    </xdr:to>
    <xdr:sp macro="" textlink="">
      <xdr:nvSpPr>
        <xdr:cNvPr id="3" name="TextBox 2"/>
        <xdr:cNvSpPr txBox="1"/>
      </xdr:nvSpPr>
      <xdr:spPr>
        <a:xfrm>
          <a:off x="0" y="38101"/>
          <a:ext cx="4972050" cy="8763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Four counters are being run on the frontier of a country to check the passports and necessary papers of the tourists. The tourists choose a counter at random. If arrivals are Poisson at the rate </a:t>
          </a:r>
          <a:r>
            <a:rPr lang="el-GR" sz="1100" b="0" i="0" u="none" strike="noStrike">
              <a:solidFill>
                <a:schemeClr val="dk1"/>
              </a:solidFill>
              <a:effectLst/>
              <a:latin typeface="+mn-lt"/>
              <a:ea typeface="+mn-ea"/>
              <a:cs typeface="+mn-cs"/>
            </a:rPr>
            <a:t>λ </a:t>
          </a:r>
          <a:r>
            <a:rPr lang="en-IN" sz="1100" b="0" i="0" u="none" strike="noStrike">
              <a:solidFill>
                <a:schemeClr val="dk1"/>
              </a:solidFill>
              <a:effectLst/>
              <a:latin typeface="+mn-lt"/>
              <a:ea typeface="+mn-ea"/>
              <a:cs typeface="+mn-cs"/>
            </a:rPr>
            <a:t>and the service time is exponential with parameter </a:t>
          </a:r>
          <a:r>
            <a:rPr lang="el-GR" sz="1100" b="0" i="0" u="none" strike="noStrike">
              <a:solidFill>
                <a:schemeClr val="dk1"/>
              </a:solidFill>
              <a:effectLst/>
              <a:latin typeface="+mn-lt"/>
              <a:ea typeface="+mn-ea"/>
              <a:cs typeface="+mn-cs"/>
            </a:rPr>
            <a:t>λ/2, </a:t>
          </a:r>
          <a:r>
            <a:rPr lang="en-IN" sz="1100" b="0" i="0" u="none" strike="noStrike">
              <a:solidFill>
                <a:schemeClr val="dk1"/>
              </a:solidFill>
              <a:effectLst/>
              <a:latin typeface="+mn-lt"/>
              <a:ea typeface="+mn-ea"/>
              <a:cs typeface="+mn-cs"/>
            </a:rPr>
            <a:t>what is the steady state average queue at each counter?</a:t>
          </a:r>
          <a:r>
            <a:rPr lang="en-IN"/>
            <a:t> </a:t>
          </a:r>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47625</xdr:rowOff>
    </xdr:from>
    <xdr:to>
      <xdr:col>9</xdr:col>
      <xdr:colOff>419101</xdr:colOff>
      <xdr:row>7</xdr:row>
      <xdr:rowOff>19050</xdr:rowOff>
    </xdr:to>
    <xdr:sp macro="" textlink="">
      <xdr:nvSpPr>
        <xdr:cNvPr id="2" name="TextBox 1"/>
        <xdr:cNvSpPr txBox="1"/>
      </xdr:nvSpPr>
      <xdr:spPr>
        <a:xfrm>
          <a:off x="0" y="47625"/>
          <a:ext cx="5905501" cy="13049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 shipping company has a single unloading dock with ships arriving in a Poisson fashion at an</a:t>
          </a:r>
        </a:p>
        <a:p>
          <a:r>
            <a:rPr lang="en-IN" sz="1100"/>
            <a:t>average rate of 3/day. The unloading time distribution for a ship with n unloading crews is found to</a:t>
          </a:r>
        </a:p>
        <a:p>
          <a:r>
            <a:rPr lang="en-IN" sz="1100"/>
            <a:t>be exponential with an average unloading time of 1/2n days. The company has a large labor supply</a:t>
          </a:r>
        </a:p>
        <a:p>
          <a:r>
            <a:rPr lang="en-IN" sz="1100"/>
            <a:t>without regular working hours, and to avoid long waiting times, the company has a policy of using as</a:t>
          </a:r>
        </a:p>
        <a:p>
          <a:r>
            <a:rPr lang="en-IN" sz="1100"/>
            <a:t>many unloading crews as ships are waiting in line or being unloaded. Find.</a:t>
          </a:r>
        </a:p>
        <a:p>
          <a:r>
            <a:rPr lang="en-IN" sz="1100"/>
            <a:t>(a) the average number of unloading crews working at any time, and</a:t>
          </a:r>
        </a:p>
        <a:p>
          <a:r>
            <a:rPr lang="en-IN" sz="1100"/>
            <a:t>(b) the probability that more than 4 crews will be needed.</a:t>
          </a:r>
        </a:p>
      </xdr:txBody>
    </xdr:sp>
    <xdr:clientData/>
  </xdr:twoCellAnchor>
  <xdr:oneCellAnchor>
    <xdr:from>
      <xdr:col>4</xdr:col>
      <xdr:colOff>0</xdr:colOff>
      <xdr:row>14</xdr:row>
      <xdr:rowOff>0</xdr:rowOff>
    </xdr:from>
    <xdr:ext cx="4006850" cy="285750"/>
    <mc:AlternateContent xmlns:mc="http://schemas.openxmlformats.org/markup-compatibility/2006">
      <mc:Choice xmlns:a14="http://schemas.microsoft.com/office/drawing/2010/main" xmlns="" Requires="a14">
        <xdr:sp macro="" textlink="">
          <xdr:nvSpPr>
            <xdr:cNvPr id="3" name="TextBox 2">
              <a:extLst>
                <a:ext uri="{FF2B5EF4-FFF2-40B4-BE49-F238E27FC236}">
                  <a16:creationId xmlns:a16="http://schemas.microsoft.com/office/drawing/2014/main" xmlns="" id="{DF1A6052-BD64-4052-BEF9-29B35E83D6D8}"/>
                </a:ext>
              </a:extLst>
            </xdr:cNvPr>
            <xdr:cNvSpPr txBox="1"/>
          </xdr:nvSpPr>
          <xdr:spPr>
            <a:xfrm>
              <a:off x="2552700" y="2295525"/>
              <a:ext cx="4006850" cy="285750"/>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nary>
                    <m:naryPr>
                      <m:chr m:val="∑"/>
                      <m:ctrlPr>
                        <a:rPr lang="en-IN" sz="1100" i="1">
                          <a:latin typeface="Cambria Math"/>
                        </a:rPr>
                      </m:ctrlPr>
                    </m:naryPr>
                    <m:sub>
                      <m:r>
                        <m:rPr>
                          <m:brk m:alnAt="23"/>
                        </m:rPr>
                        <a:rPr lang="en-US" sz="1100" b="0" i="1">
                          <a:latin typeface="Cambria Math" panose="02040503050406030204" pitchFamily="18" charset="0"/>
                        </a:rPr>
                        <m:t>𝑛</m:t>
                      </m:r>
                      <m:r>
                        <a:rPr lang="en-IN" sz="1100" i="1">
                          <a:latin typeface="Cambria Math" panose="02040503050406030204" pitchFamily="18" charset="0"/>
                        </a:rPr>
                        <m:t>=</m:t>
                      </m:r>
                      <m:r>
                        <a:rPr lang="en-US" sz="1100" b="0" i="1">
                          <a:latin typeface="Cambria Math" panose="02040503050406030204" pitchFamily="18" charset="0"/>
                        </a:rPr>
                        <m:t>5</m:t>
                      </m:r>
                    </m:sub>
                    <m:sup>
                      <m:r>
                        <a:rPr lang="en-US" sz="1100" b="0" i="1">
                          <a:latin typeface="Cambria Math" panose="02040503050406030204" pitchFamily="18" charset="0"/>
                        </a:rPr>
                        <m:t>𝑖𝑛𝑓</m:t>
                      </m:r>
                      <m:r>
                        <a:rPr lang="en-US" sz="1100" b="0" i="1">
                          <a:latin typeface="Cambria Math" panose="02040503050406030204" pitchFamily="18" charset="0"/>
                        </a:rPr>
                        <m:t>.</m:t>
                      </m:r>
                    </m:sup>
                    <m:e>
                      <m:r>
                        <a:rPr lang="en-US" sz="1100" b="0" i="1">
                          <a:latin typeface="Cambria Math" panose="02040503050406030204" pitchFamily="18" charset="0"/>
                        </a:rPr>
                        <m:t>𝑃𝑛</m:t>
                      </m:r>
                    </m:e>
                  </m:nary>
                </m:oMath>
              </a14:m>
              <a:r>
                <a:rPr lang="en-IN" sz="1100"/>
                <a:t> = </a:t>
              </a:r>
              <a14:m>
                <m:oMath xmlns:m="http://schemas.openxmlformats.org/officeDocument/2006/math">
                  <m:nary>
                    <m:naryPr>
                      <m:chr m:val="∑"/>
                      <m:ctrlPr>
                        <a:rPr lang="en-IN" sz="1100" i="1">
                          <a:solidFill>
                            <a:schemeClr val="tx1"/>
                          </a:solidFill>
                          <a:effectLst/>
                          <a:latin typeface="Cambria Math"/>
                          <a:ea typeface="+mn-ea"/>
                          <a:cs typeface="+mn-cs"/>
                        </a:rPr>
                      </m:ctrlPr>
                    </m:naryPr>
                    <m:sub>
                      <m:r>
                        <m:rPr>
                          <m:brk m:alnAt="23"/>
                        </m:rPr>
                        <a:rPr lang="en-US" sz="1100" b="0" i="1">
                          <a:solidFill>
                            <a:schemeClr val="tx1"/>
                          </a:solidFill>
                          <a:effectLst/>
                          <a:latin typeface="Cambria Math" panose="02040503050406030204" pitchFamily="18" charset="0"/>
                          <a:ea typeface="+mn-ea"/>
                          <a:cs typeface="+mn-cs"/>
                        </a:rPr>
                        <m:t>𝑛</m:t>
                      </m:r>
                      <m:r>
                        <a:rPr lang="en-IN" sz="110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0</m:t>
                      </m:r>
                    </m:sub>
                    <m:sup>
                      <m:r>
                        <a:rPr lang="en-US" sz="1100" b="0" i="1">
                          <a:solidFill>
                            <a:schemeClr val="tx1"/>
                          </a:solidFill>
                          <a:effectLst/>
                          <a:latin typeface="Cambria Math" panose="02040503050406030204" pitchFamily="18" charset="0"/>
                          <a:ea typeface="+mn-ea"/>
                          <a:cs typeface="+mn-cs"/>
                        </a:rPr>
                        <m:t>𝑖𝑛𝑓</m:t>
                      </m:r>
                      <m:r>
                        <a:rPr lang="en-US" sz="1100" b="0" i="1">
                          <a:solidFill>
                            <a:schemeClr val="tx1"/>
                          </a:solidFill>
                          <a:effectLst/>
                          <a:latin typeface="Cambria Math" panose="02040503050406030204" pitchFamily="18" charset="0"/>
                          <a:ea typeface="+mn-ea"/>
                          <a:cs typeface="+mn-cs"/>
                        </a:rPr>
                        <m:t>.</m:t>
                      </m:r>
                    </m:sup>
                    <m:e>
                      <m:r>
                        <a:rPr lang="en-US" sz="1100" b="0" i="1">
                          <a:solidFill>
                            <a:schemeClr val="tx1"/>
                          </a:solidFill>
                          <a:effectLst/>
                          <a:latin typeface="Cambria Math" panose="02040503050406030204" pitchFamily="18" charset="0"/>
                          <a:ea typeface="+mn-ea"/>
                          <a:cs typeface="+mn-cs"/>
                        </a:rPr>
                        <m:t>𝑃𝑛</m:t>
                      </m:r>
                    </m:e>
                  </m:nary>
                </m:oMath>
              </a14:m>
              <a:r>
                <a:rPr lang="en-IN" sz="1100">
                  <a:solidFill>
                    <a:schemeClr val="tx1"/>
                  </a:solidFill>
                  <a:effectLst/>
                  <a:latin typeface="+mn-lt"/>
                  <a:ea typeface="+mn-ea"/>
                  <a:cs typeface="+mn-cs"/>
                </a:rPr>
                <a:t> -</a:t>
              </a:r>
              <a14:m>
                <m:oMath xmlns:m="http://schemas.openxmlformats.org/officeDocument/2006/math">
                  <m:nary>
                    <m:naryPr>
                      <m:chr m:val="∑"/>
                      <m:ctrlPr>
                        <a:rPr lang="en-IN" sz="1100" i="1">
                          <a:solidFill>
                            <a:schemeClr val="tx1"/>
                          </a:solidFill>
                          <a:effectLst/>
                          <a:latin typeface="Cambria Math"/>
                          <a:ea typeface="+mn-ea"/>
                          <a:cs typeface="+mn-cs"/>
                        </a:rPr>
                      </m:ctrlPr>
                    </m:naryPr>
                    <m:sub>
                      <m:r>
                        <m:rPr>
                          <m:brk m:alnAt="23"/>
                        </m:rPr>
                        <a:rPr lang="en-US" sz="1100" b="0" i="1">
                          <a:solidFill>
                            <a:schemeClr val="tx1"/>
                          </a:solidFill>
                          <a:effectLst/>
                          <a:latin typeface="Cambria Math" panose="02040503050406030204" pitchFamily="18" charset="0"/>
                          <a:ea typeface="+mn-ea"/>
                          <a:cs typeface="+mn-cs"/>
                        </a:rPr>
                        <m:t>𝑛</m:t>
                      </m:r>
                      <m:r>
                        <a:rPr lang="en-IN" sz="110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0</m:t>
                      </m:r>
                    </m:sub>
                    <m:sup>
                      <m:r>
                        <a:rPr lang="en-US" sz="1100" b="0" i="1">
                          <a:solidFill>
                            <a:schemeClr val="tx1"/>
                          </a:solidFill>
                          <a:effectLst/>
                          <a:latin typeface="Cambria Math" panose="02040503050406030204" pitchFamily="18" charset="0"/>
                          <a:ea typeface="+mn-ea"/>
                          <a:cs typeface="+mn-cs"/>
                        </a:rPr>
                        <m:t>4</m:t>
                      </m:r>
                    </m:sup>
                    <m:e>
                      <m:r>
                        <a:rPr lang="en-US" sz="1100" b="0" i="1">
                          <a:solidFill>
                            <a:schemeClr val="tx1"/>
                          </a:solidFill>
                          <a:effectLst/>
                          <a:latin typeface="Cambria Math" panose="02040503050406030204" pitchFamily="18" charset="0"/>
                          <a:ea typeface="+mn-ea"/>
                          <a:cs typeface="+mn-cs"/>
                        </a:rPr>
                        <m:t>𝑃𝑛</m:t>
                      </m:r>
                    </m:e>
                  </m:nary>
                </m:oMath>
              </a14:m>
              <a:r>
                <a:rPr lang="en-IN" sz="1100">
                  <a:solidFill>
                    <a:schemeClr val="tx1"/>
                  </a:solidFill>
                  <a:effectLst/>
                  <a:latin typeface="+mn-lt"/>
                  <a:ea typeface="+mn-ea"/>
                  <a:cs typeface="+mn-cs"/>
                </a:rPr>
                <a:t> , whare Pn = 1/n!(</a:t>
              </a:r>
              <a:r>
                <a:rPr lang="el-GR" sz="1100">
                  <a:solidFill>
                    <a:schemeClr val="tx1"/>
                  </a:solidFill>
                  <a:effectLst/>
                  <a:latin typeface="+mn-lt"/>
                  <a:ea typeface="+mn-ea"/>
                  <a:cs typeface="+mn-cs"/>
                </a:rPr>
                <a:t>λ</a:t>
              </a:r>
              <a:r>
                <a:rPr lang="en-US" sz="1100">
                  <a:solidFill>
                    <a:schemeClr val="tx1"/>
                  </a:solidFill>
                  <a:effectLst/>
                  <a:latin typeface="+mn-lt"/>
                  <a:ea typeface="+mn-ea"/>
                  <a:cs typeface="+mn-cs"/>
                </a:rPr>
                <a:t>/</a:t>
              </a:r>
              <a:r>
                <a:rPr lang="el-GR" sz="1100">
                  <a:solidFill>
                    <a:schemeClr val="tx1"/>
                  </a:solidFill>
                  <a:effectLst/>
                  <a:latin typeface="+mn-lt"/>
                  <a:ea typeface="+mn-ea"/>
                  <a:cs typeface="+mn-cs"/>
                </a:rPr>
                <a:t>μ</a:t>
              </a:r>
              <a:r>
                <a:rPr lang="en-US" sz="1100">
                  <a:solidFill>
                    <a:schemeClr val="tx1"/>
                  </a:solidFill>
                  <a:effectLst/>
                  <a:latin typeface="+mn-lt"/>
                  <a:ea typeface="+mn-ea"/>
                  <a:cs typeface="+mn-cs"/>
                </a:rPr>
                <a:t>)^n e^-</a:t>
              </a:r>
              <a:r>
                <a:rPr lang="el-GR" sz="1100">
                  <a:solidFill>
                    <a:schemeClr val="tx1"/>
                  </a:solidFill>
                  <a:effectLst/>
                  <a:latin typeface="+mn-lt"/>
                  <a:ea typeface="+mn-ea"/>
                  <a:cs typeface="+mn-cs"/>
                </a:rPr>
                <a:t>μ</a:t>
              </a:r>
              <a:r>
                <a:rPr lang="en-US" sz="1100">
                  <a:solidFill>
                    <a:schemeClr val="tx1"/>
                  </a:solidFill>
                  <a:effectLst/>
                  <a:latin typeface="+mn-lt"/>
                  <a:ea typeface="+mn-ea"/>
                  <a:cs typeface="+mn-cs"/>
                </a:rPr>
                <a:t>/</a:t>
              </a:r>
              <a:r>
                <a:rPr lang="el-GR" sz="1100">
                  <a:solidFill>
                    <a:schemeClr val="tx1"/>
                  </a:solidFill>
                  <a:effectLst/>
                  <a:latin typeface="+mn-lt"/>
                  <a:ea typeface="+mn-ea"/>
                  <a:cs typeface="+mn-cs"/>
                </a:rPr>
                <a:t>μ</a:t>
              </a:r>
              <a:endParaRPr lang="en-IN" sz="1100"/>
            </a:p>
          </xdr:txBody>
        </xdr:sp>
      </mc:Choice>
      <mc:Fallback>
        <xdr:sp macro="" textlink="">
          <xdr:nvSpPr>
            <xdr:cNvPr id="3" name="TextBox 2">
              <a:extLst>
                <a:ext uri="{FF2B5EF4-FFF2-40B4-BE49-F238E27FC236}">
                  <a16:creationId xmlns:a16="http://schemas.microsoft.com/office/drawing/2014/main" xmlns="" xmlns:a14="http://schemas.microsoft.com/office/drawing/2010/main" id="{DF1A6052-BD64-4052-BEF9-29B35E83D6D8}"/>
                </a:ext>
              </a:extLst>
            </xdr:cNvPr>
            <xdr:cNvSpPr txBox="1"/>
          </xdr:nvSpPr>
          <xdr:spPr>
            <a:xfrm>
              <a:off x="2552700" y="2295525"/>
              <a:ext cx="4006850" cy="285750"/>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i="0">
                  <a:latin typeface="Cambria Math" panose="02040503050406030204" pitchFamily="18" charset="0"/>
                </a:rPr>
                <a:t>∑</a:t>
              </a:r>
              <a:r>
                <a:rPr lang="en-US" sz="1100" b="0" i="0">
                  <a:latin typeface="Cambria Math" panose="02040503050406030204" pitchFamily="18" charset="0"/>
                </a:rPr>
                <a:t>_</a:t>
              </a:r>
              <a:r>
                <a:rPr lang="en-IN" sz="1100" b="0" i="0">
                  <a:latin typeface="Cambria Math" panose="02040503050406030204" pitchFamily="18" charset="0"/>
                </a:rPr>
                <a:t>(</a:t>
              </a:r>
              <a:r>
                <a:rPr lang="en-US" sz="1100" b="0" i="0">
                  <a:latin typeface="Cambria Math" panose="02040503050406030204" pitchFamily="18" charset="0"/>
                </a:rPr>
                <a:t>𝑛</a:t>
              </a:r>
              <a:r>
                <a:rPr lang="en-IN" sz="1100" i="0">
                  <a:latin typeface="Cambria Math" panose="02040503050406030204" pitchFamily="18" charset="0"/>
                </a:rPr>
                <a:t>=</a:t>
              </a:r>
              <a:r>
                <a:rPr lang="en-US" sz="1100" b="0" i="0">
                  <a:latin typeface="Cambria Math" panose="02040503050406030204" pitchFamily="18" charset="0"/>
                </a:rPr>
                <a:t>5</a:t>
              </a:r>
              <a:r>
                <a:rPr lang="en-IN" sz="1100" b="0" i="0">
                  <a:latin typeface="Cambria Math" panose="02040503050406030204" pitchFamily="18" charset="0"/>
                </a:rPr>
                <a:t>)</a:t>
              </a:r>
              <a:r>
                <a:rPr lang="en-US" sz="1100" b="0" i="0">
                  <a:latin typeface="Cambria Math" panose="02040503050406030204" pitchFamily="18" charset="0"/>
                </a:rPr>
                <a:t>^(𝑖𝑛𝑓.)▒𝑃𝑛</a:t>
              </a:r>
              <a:r>
                <a:rPr lang="en-IN" sz="1100"/>
                <a:t> = </a:t>
              </a:r>
              <a:r>
                <a:rPr lang="en-IN" sz="110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_</a:t>
              </a:r>
              <a:r>
                <a:rPr lang="en-IN"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𝑛</a:t>
              </a:r>
              <a:r>
                <a:rPr lang="en-IN" sz="110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0</a:t>
              </a:r>
              <a:r>
                <a:rPr lang="en-IN"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^(𝑖𝑛𝑓.)▒𝑃𝑛</a:t>
              </a:r>
              <a:r>
                <a:rPr lang="en-IN" sz="1100">
                  <a:solidFill>
                    <a:schemeClr val="tx1"/>
                  </a:solidFill>
                  <a:effectLst/>
                  <a:latin typeface="+mn-lt"/>
                  <a:ea typeface="+mn-ea"/>
                  <a:cs typeface="+mn-cs"/>
                </a:rPr>
                <a:t> -</a:t>
              </a:r>
              <a:r>
                <a:rPr lang="en-IN" sz="110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_</a:t>
              </a:r>
              <a:r>
                <a:rPr lang="en-IN"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𝑛</a:t>
              </a:r>
              <a:r>
                <a:rPr lang="en-IN" sz="110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0</a:t>
              </a:r>
              <a:r>
                <a:rPr lang="en-IN"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^4▒𝑃𝑛</a:t>
              </a:r>
              <a:r>
                <a:rPr lang="en-IN" sz="1100">
                  <a:solidFill>
                    <a:schemeClr val="tx1"/>
                  </a:solidFill>
                  <a:effectLst/>
                  <a:latin typeface="+mn-lt"/>
                  <a:ea typeface="+mn-ea"/>
                  <a:cs typeface="+mn-cs"/>
                </a:rPr>
                <a:t> , whare Pn = 1/n!(</a:t>
              </a:r>
              <a:r>
                <a:rPr lang="el-GR" sz="1100">
                  <a:solidFill>
                    <a:schemeClr val="tx1"/>
                  </a:solidFill>
                  <a:effectLst/>
                  <a:latin typeface="+mn-lt"/>
                  <a:ea typeface="+mn-ea"/>
                  <a:cs typeface="+mn-cs"/>
                </a:rPr>
                <a:t>λ</a:t>
              </a:r>
              <a:r>
                <a:rPr lang="en-US" sz="1100">
                  <a:solidFill>
                    <a:schemeClr val="tx1"/>
                  </a:solidFill>
                  <a:effectLst/>
                  <a:latin typeface="+mn-lt"/>
                  <a:ea typeface="+mn-ea"/>
                  <a:cs typeface="+mn-cs"/>
                </a:rPr>
                <a:t>/</a:t>
              </a:r>
              <a:r>
                <a:rPr lang="el-GR" sz="1100">
                  <a:solidFill>
                    <a:schemeClr val="tx1"/>
                  </a:solidFill>
                  <a:effectLst/>
                  <a:latin typeface="+mn-lt"/>
                  <a:ea typeface="+mn-ea"/>
                  <a:cs typeface="+mn-cs"/>
                </a:rPr>
                <a:t>μ</a:t>
              </a:r>
              <a:r>
                <a:rPr lang="en-US" sz="1100">
                  <a:solidFill>
                    <a:schemeClr val="tx1"/>
                  </a:solidFill>
                  <a:effectLst/>
                  <a:latin typeface="+mn-lt"/>
                  <a:ea typeface="+mn-ea"/>
                  <a:cs typeface="+mn-cs"/>
                </a:rPr>
                <a:t>)^n e^-</a:t>
              </a:r>
              <a:r>
                <a:rPr lang="el-GR" sz="1100">
                  <a:solidFill>
                    <a:schemeClr val="tx1"/>
                  </a:solidFill>
                  <a:effectLst/>
                  <a:latin typeface="+mn-lt"/>
                  <a:ea typeface="+mn-ea"/>
                  <a:cs typeface="+mn-cs"/>
                </a:rPr>
                <a:t>μ</a:t>
              </a:r>
              <a:r>
                <a:rPr lang="en-US" sz="1100">
                  <a:solidFill>
                    <a:schemeClr val="tx1"/>
                  </a:solidFill>
                  <a:effectLst/>
                  <a:latin typeface="+mn-lt"/>
                  <a:ea typeface="+mn-ea"/>
                  <a:cs typeface="+mn-cs"/>
                </a:rPr>
                <a:t>/</a:t>
              </a:r>
              <a:r>
                <a:rPr lang="el-GR" sz="1100">
                  <a:solidFill>
                    <a:schemeClr val="tx1"/>
                  </a:solidFill>
                  <a:effectLst/>
                  <a:latin typeface="+mn-lt"/>
                  <a:ea typeface="+mn-ea"/>
                  <a:cs typeface="+mn-cs"/>
                </a:rPr>
                <a:t>μ</a:t>
              </a:r>
              <a:endParaRPr lang="en-IN"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133350</xdr:colOff>
      <xdr:row>5</xdr:row>
      <xdr:rowOff>104775</xdr:rowOff>
    </xdr:to>
    <xdr:sp macro="" textlink="">
      <xdr:nvSpPr>
        <xdr:cNvPr id="3" name="TextBox 2"/>
        <xdr:cNvSpPr txBox="1"/>
      </xdr:nvSpPr>
      <xdr:spPr>
        <a:xfrm>
          <a:off x="0" y="0"/>
          <a:ext cx="5619750" cy="10572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 component with time to failure T has constant failure rate</a:t>
          </a:r>
        </a:p>
        <a:p>
          <a:r>
            <a:rPr lang="en-IN" sz="1100"/>
            <a:t>z(t)= A=2.5*10* (hours) ¹</a:t>
          </a:r>
        </a:p>
        <a:p>
          <a:r>
            <a:rPr lang="en-IN" sz="1100"/>
            <a:t>(a) Determine the probability that the component survives a period of 2 months without failure</a:t>
          </a:r>
        </a:p>
        <a:p>
          <a:r>
            <a:rPr lang="en-IN" sz="1100"/>
            <a:t>(b) Find the MTTF of the component.</a:t>
          </a:r>
        </a:p>
        <a:p>
          <a:r>
            <a:rPr lang="en-IN" sz="1100"/>
            <a:t>(c) Find the probability that the component survives its MTTF.</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19050</xdr:rowOff>
    </xdr:from>
    <xdr:to>
      <xdr:col>9</xdr:col>
      <xdr:colOff>571500</xdr:colOff>
      <xdr:row>6</xdr:row>
      <xdr:rowOff>104775</xdr:rowOff>
    </xdr:to>
    <xdr:sp macro="" textlink="">
      <xdr:nvSpPr>
        <xdr:cNvPr id="2" name="TextBox 1"/>
        <xdr:cNvSpPr txBox="1"/>
      </xdr:nvSpPr>
      <xdr:spPr>
        <a:xfrm>
          <a:off x="0" y="19050"/>
          <a:ext cx="6057900" cy="12287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 machine with a constant failure rate &amp;amp; will survive a period of 100 hours without failure, with a</a:t>
          </a:r>
        </a:p>
        <a:p>
          <a:r>
            <a:rPr lang="en-IN" sz="1100"/>
            <a:t>probability of 0.50.</a:t>
          </a:r>
        </a:p>
        <a:p>
          <a:r>
            <a:rPr lang="en-IN" sz="1100"/>
            <a:t>(a) Determine the failure rate A.</a:t>
          </a:r>
        </a:p>
        <a:p>
          <a:r>
            <a:rPr lang="en-IN" sz="1100"/>
            <a:t>(b) Find the probability that the machine will survive 500 hours without failure.</a:t>
          </a:r>
        </a:p>
        <a:p>
          <a:r>
            <a:rPr lang="en-IN" sz="1100"/>
            <a:t>(c) Determine the probability that the machine will fail within 1000 hours when you know that the</a:t>
          </a:r>
        </a:p>
        <a:p>
          <a:r>
            <a:rPr lang="en-IN" sz="1100"/>
            <a:t>machine was functioning at 500</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19050</xdr:colOff>
      <xdr:row>0</xdr:row>
      <xdr:rowOff>28576</xdr:rowOff>
    </xdr:from>
    <xdr:to>
      <xdr:col>10</xdr:col>
      <xdr:colOff>247650</xdr:colOff>
      <xdr:row>6</xdr:row>
      <xdr:rowOff>28576</xdr:rowOff>
    </xdr:to>
    <xdr:sp macro="" textlink="">
      <xdr:nvSpPr>
        <xdr:cNvPr id="2" name="TextBox 1"/>
        <xdr:cNvSpPr txBox="1"/>
      </xdr:nvSpPr>
      <xdr:spPr>
        <a:xfrm>
          <a:off x="19050" y="28576"/>
          <a:ext cx="6324600" cy="11430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 safety valve is assumed to have constant failure rate with respect to all failure modes. A study has shown that the total MTTF of the valve is 2450 days. The safety valve is in continuous operation, and the failure modes are </a:t>
          </a:r>
        </a:p>
        <a:p>
          <a:r>
            <a:rPr lang="en-IN" sz="1100"/>
            <a:t>(a) Determine the total failure rate of the safety valve. </a:t>
          </a:r>
        </a:p>
        <a:p>
          <a:r>
            <a:rPr lang="en-IN" sz="1100"/>
            <a:t>(b) Determine the probability that the safety valve will survive a period of 3 months without any failure. </a:t>
          </a:r>
        </a:p>
        <a:p>
          <a:r>
            <a:rPr lang="en-IN" sz="1100"/>
            <a:t>(c) Of all failure 45% are assumed to be critical failure modes. Determine the mean time to a critical.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9525</xdr:rowOff>
    </xdr:from>
    <xdr:to>
      <xdr:col>11</xdr:col>
      <xdr:colOff>219076</xdr:colOff>
      <xdr:row>9</xdr:row>
      <xdr:rowOff>28574</xdr:rowOff>
    </xdr:to>
    <xdr:sp macro="" textlink="">
      <xdr:nvSpPr>
        <xdr:cNvPr id="2" name="TextBox 1"/>
        <xdr:cNvSpPr txBox="1"/>
      </xdr:nvSpPr>
      <xdr:spPr>
        <a:xfrm>
          <a:off x="0" y="9525"/>
          <a:ext cx="6924676" cy="173354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An international airport operates with three check-out counters. The sign by the check-out area advices the customers that an additional courter will be opened any time the number of customers in the queue exceeds three. This means that for the fewer than 4 customers, only one counter wil be in operation. For four to six customers, two counter will be open. For more than six customers, all three counters will be open. The customers arrive at the counters are according to Poisson distribution with a mean of 10 customers per hour. The average checkout time per customer is exponential with mean 12 minutes. Determine the following:</a:t>
          </a:r>
        </a:p>
        <a:p>
          <a:r>
            <a:rPr lang="en-IN" sz="1100"/>
            <a:t>i) Steady state probability Pn of n customers in the checkout area.</a:t>
          </a:r>
        </a:p>
        <a:p>
          <a:r>
            <a:rPr lang="en-IN" sz="1100"/>
            <a:t>ii) Average no of busy counters.</a:t>
          </a:r>
        </a:p>
        <a:p>
          <a:r>
            <a:rPr lang="en-IN" sz="1100"/>
            <a:t>iii) Average no of idle counters.</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9525</xdr:colOff>
      <xdr:row>3</xdr:row>
      <xdr:rowOff>85726</xdr:rowOff>
    </xdr:to>
    <xdr:sp macro="" textlink="">
      <xdr:nvSpPr>
        <xdr:cNvPr id="2" name="TextBox 1"/>
        <xdr:cNvSpPr txBox="1"/>
      </xdr:nvSpPr>
      <xdr:spPr>
        <a:xfrm>
          <a:off x="0" y="0"/>
          <a:ext cx="7324725" cy="65722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 cafeteria with self-service has an arrival rate of 12/hour. The average time taken by a person to collect and eat his meal is 20 minutes. Assuming that the inter arrival times are exponentially distributed, how many seats must the cafeteria have to accommodate each customer with probability 0.95?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dimension ref="A1"/>
  <sheetViews>
    <sheetView tabSelected="1" topLeftCell="B1" workbookViewId="0">
      <selection activeCell="B2" sqref="B2"/>
    </sheetView>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B8:F21"/>
  <sheetViews>
    <sheetView workbookViewId="0">
      <selection activeCell="J18" sqref="J18"/>
    </sheetView>
  </sheetViews>
  <sheetFormatPr defaultRowHeight="14.4"/>
  <sheetData>
    <row r="8" spans="2:6">
      <c r="B8" s="28" t="s">
        <v>7</v>
      </c>
      <c r="C8" s="29">
        <f>96/24</f>
        <v>4</v>
      </c>
    </row>
    <row r="9" spans="2:6">
      <c r="B9" s="28" t="s">
        <v>5</v>
      </c>
      <c r="C9" s="29">
        <f>60/10</f>
        <v>6</v>
      </c>
    </row>
    <row r="10" spans="2:6">
      <c r="B10" s="29" t="s">
        <v>24</v>
      </c>
      <c r="C10" s="29">
        <f>C8^2/(C9*(C9-C8))</f>
        <v>1.3333333333333333</v>
      </c>
    </row>
    <row r="11" spans="2:6">
      <c r="B11" s="29" t="s">
        <v>25</v>
      </c>
      <c r="C11" s="29">
        <f>1/2</f>
        <v>0.5</v>
      </c>
    </row>
    <row r="14" spans="2:6">
      <c r="B14" s="30" t="s">
        <v>26</v>
      </c>
      <c r="C14" s="29">
        <f>8</f>
        <v>8</v>
      </c>
    </row>
    <row r="16" spans="2:6">
      <c r="B16" s="31" t="s">
        <v>27</v>
      </c>
      <c r="C16" s="32"/>
      <c r="D16" s="32"/>
      <c r="E16" s="32"/>
      <c r="F16" s="33">
        <f>15/2</f>
        <v>7.5</v>
      </c>
    </row>
    <row r="17" spans="2:6">
      <c r="B17" s="24"/>
      <c r="C17" s="27"/>
      <c r="D17" s="27"/>
      <c r="E17" s="27"/>
      <c r="F17" s="26"/>
    </row>
    <row r="18" spans="2:6">
      <c r="B18" s="31" t="s">
        <v>28</v>
      </c>
      <c r="C18" s="32"/>
      <c r="D18" s="32"/>
      <c r="E18" s="32"/>
      <c r="F18" s="33">
        <f>10-F16</f>
        <v>2.5</v>
      </c>
    </row>
    <row r="19" spans="2:6">
      <c r="B19" s="24"/>
      <c r="C19" s="27"/>
      <c r="D19" s="27"/>
      <c r="E19" s="27"/>
      <c r="F19" s="26"/>
    </row>
    <row r="20" spans="2:6">
      <c r="B20" s="31" t="s">
        <v>29</v>
      </c>
      <c r="C20" s="32"/>
      <c r="D20" s="32"/>
      <c r="E20" s="32"/>
      <c r="F20" s="33">
        <f>100+(F18*10)</f>
        <v>125</v>
      </c>
    </row>
    <row r="21" spans="2:6">
      <c r="B21" s="2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B9:J24"/>
  <sheetViews>
    <sheetView workbookViewId="0">
      <selection activeCell="B16" sqref="B16"/>
    </sheetView>
  </sheetViews>
  <sheetFormatPr defaultRowHeight="14.4"/>
  <sheetData>
    <row r="9" spans="2:10">
      <c r="B9" s="18" t="s">
        <v>0</v>
      </c>
      <c r="C9" s="2" t="s">
        <v>1</v>
      </c>
      <c r="D9" s="14" t="s">
        <v>2</v>
      </c>
      <c r="E9" s="15"/>
      <c r="F9" s="3"/>
      <c r="G9" s="2" t="s">
        <v>3</v>
      </c>
      <c r="H9" s="14" t="s">
        <v>4</v>
      </c>
      <c r="I9" s="15"/>
      <c r="J9" s="3"/>
    </row>
    <row r="10" spans="2:10">
      <c r="B10" s="1"/>
      <c r="C10" s="4" t="s">
        <v>5</v>
      </c>
      <c r="D10" s="16">
        <f>60/6</f>
        <v>10</v>
      </c>
      <c r="E10" s="15" t="s">
        <v>6</v>
      </c>
      <c r="F10" s="3"/>
      <c r="G10" s="4" t="s">
        <v>5</v>
      </c>
      <c r="H10" s="16">
        <v>10</v>
      </c>
      <c r="I10" s="15" t="s">
        <v>6</v>
      </c>
      <c r="J10" s="3"/>
    </row>
    <row r="11" spans="2:10">
      <c r="B11" s="1"/>
      <c r="C11" s="5" t="s">
        <v>7</v>
      </c>
      <c r="D11" s="16">
        <v>8</v>
      </c>
      <c r="E11" s="15" t="s">
        <v>6</v>
      </c>
      <c r="F11" s="3"/>
      <c r="G11" s="5" t="s">
        <v>7</v>
      </c>
      <c r="H11" s="16">
        <v>5</v>
      </c>
      <c r="I11" s="15" t="s">
        <v>6</v>
      </c>
      <c r="J11" s="3"/>
    </row>
    <row r="12" spans="2:10">
      <c r="B12" s="1"/>
      <c r="C12" s="4" t="s">
        <v>8</v>
      </c>
      <c r="D12" s="16">
        <f>D11/D10</f>
        <v>0.8</v>
      </c>
      <c r="E12" s="15"/>
      <c r="F12" s="3"/>
      <c r="G12" s="4" t="s">
        <v>8</v>
      </c>
      <c r="H12" s="16">
        <f>H11/H10</f>
        <v>0.5</v>
      </c>
      <c r="I12" s="15"/>
      <c r="J12" s="3"/>
    </row>
    <row r="13" spans="2:10">
      <c r="B13" s="1"/>
      <c r="C13" s="5" t="s">
        <v>9</v>
      </c>
      <c r="D13" s="16">
        <f>D12*(1/(D10-D11))</f>
        <v>0.4</v>
      </c>
      <c r="E13" s="15" t="s">
        <v>10</v>
      </c>
      <c r="F13" s="3"/>
      <c r="G13" s="5" t="s">
        <v>9</v>
      </c>
      <c r="H13" s="16">
        <f>H12*(1/(H10-H11))</f>
        <v>0.1</v>
      </c>
      <c r="I13" s="15" t="s">
        <v>10</v>
      </c>
      <c r="J13" s="3"/>
    </row>
    <row r="14" spans="2:10">
      <c r="B14" s="1"/>
      <c r="C14" s="4"/>
      <c r="D14" s="16">
        <f>D13*60</f>
        <v>24</v>
      </c>
      <c r="E14" s="15" t="s">
        <v>11</v>
      </c>
      <c r="F14" s="3"/>
      <c r="G14" s="4"/>
      <c r="H14" s="16">
        <f>H13*60</f>
        <v>6</v>
      </c>
      <c r="I14" s="15" t="s">
        <v>11</v>
      </c>
      <c r="J14" s="3"/>
    </row>
    <row r="15" spans="2:10">
      <c r="B15" s="1"/>
      <c r="C15" s="3"/>
      <c r="D15" s="3"/>
      <c r="E15" s="3"/>
      <c r="F15" s="3"/>
      <c r="G15" s="3"/>
      <c r="H15" s="3"/>
      <c r="I15" s="3"/>
      <c r="J15" s="3"/>
    </row>
    <row r="16" spans="2:10">
      <c r="B16" s="18" t="s">
        <v>12</v>
      </c>
      <c r="C16" s="4" t="s">
        <v>13</v>
      </c>
      <c r="D16" s="16">
        <v>2</v>
      </c>
      <c r="E16" s="15"/>
      <c r="F16" s="3"/>
      <c r="G16" s="3"/>
      <c r="H16" s="3"/>
      <c r="I16" s="3"/>
      <c r="J16" s="3"/>
    </row>
    <row r="17" spans="2:10">
      <c r="B17" s="1"/>
      <c r="C17" s="5" t="s">
        <v>7</v>
      </c>
      <c r="D17" s="16">
        <f>D11+H11</f>
        <v>13</v>
      </c>
      <c r="E17" s="15" t="s">
        <v>6</v>
      </c>
      <c r="F17" s="3"/>
      <c r="G17" s="3"/>
      <c r="H17" s="3"/>
      <c r="I17" s="3"/>
      <c r="J17" s="3"/>
    </row>
    <row r="18" spans="2:10">
      <c r="B18" s="1"/>
      <c r="C18" s="4" t="s">
        <v>5</v>
      </c>
      <c r="D18" s="16">
        <v>10</v>
      </c>
      <c r="E18" s="15" t="s">
        <v>6</v>
      </c>
      <c r="F18" s="3"/>
      <c r="G18" s="3"/>
      <c r="H18" s="3"/>
      <c r="I18" s="3"/>
      <c r="J18" s="3"/>
    </row>
    <row r="19" spans="2:10">
      <c r="B19" s="1"/>
      <c r="C19" s="4" t="s">
        <v>8</v>
      </c>
      <c r="D19" s="16">
        <f>D17/(D18*D16)</f>
        <v>0.65</v>
      </c>
      <c r="E19" s="15"/>
      <c r="F19" s="3"/>
      <c r="G19" s="3"/>
      <c r="H19" s="3" t="s">
        <v>14</v>
      </c>
      <c r="I19" s="3"/>
      <c r="J19" s="3"/>
    </row>
    <row r="20" spans="2:10">
      <c r="B20" s="1"/>
      <c r="F20" s="3"/>
      <c r="G20" s="3"/>
      <c r="H20" s="3"/>
      <c r="I20" s="3"/>
      <c r="J20" s="3"/>
    </row>
    <row r="21" spans="2:10">
      <c r="B21" s="1"/>
      <c r="C21" s="91" t="s">
        <v>15</v>
      </c>
      <c r="D21" s="92"/>
      <c r="E21" s="93"/>
      <c r="F21" s="3"/>
      <c r="G21" s="3"/>
      <c r="H21" s="3"/>
      <c r="I21" s="3"/>
      <c r="J21" s="3"/>
    </row>
    <row r="22" spans="2:10" ht="15.6">
      <c r="B22" s="1"/>
      <c r="C22" s="4" t="s">
        <v>16</v>
      </c>
      <c r="D22" s="16">
        <f>1/((D17/D18)^0/FACT(0)+(D17/D18)^1/FACT(1)+((D17/D18)^D16/FACT(D16)*(D16*D18/(D16*D18-D17))))</f>
        <v>0.21212121212121213</v>
      </c>
      <c r="E22" s="15"/>
      <c r="F22" s="3"/>
      <c r="G22" s="3"/>
      <c r="H22" s="3"/>
      <c r="I22" s="3"/>
      <c r="J22" s="3"/>
    </row>
    <row r="23" spans="2:10">
      <c r="B23" s="1"/>
      <c r="C23" s="5" t="s">
        <v>9</v>
      </c>
      <c r="D23" s="16">
        <f>(D18*(D17/D18)^D16)/(FACT(D16-1)*(D16*D18-D17)^2)*D22</f>
        <v>7.3160173160173161E-2</v>
      </c>
      <c r="E23" s="15" t="s">
        <v>10</v>
      </c>
      <c r="F23" s="3"/>
      <c r="G23" s="3"/>
      <c r="H23" s="3"/>
      <c r="I23" s="3"/>
      <c r="J23" s="3"/>
    </row>
    <row r="24" spans="2:10">
      <c r="C24" s="4"/>
      <c r="D24" s="16">
        <f>D23*60</f>
        <v>4.3896103896103895</v>
      </c>
      <c r="E24" s="15" t="s">
        <v>11</v>
      </c>
    </row>
  </sheetData>
  <mergeCells count="1">
    <mergeCell ref="C21:E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0:E20"/>
  <sheetViews>
    <sheetView workbookViewId="0">
      <selection activeCell="B17" sqref="B17:E20"/>
    </sheetView>
  </sheetViews>
  <sheetFormatPr defaultRowHeight="14.4"/>
  <sheetData>
    <row r="10" spans="1:5">
      <c r="A10" s="5" t="s">
        <v>13</v>
      </c>
      <c r="B10" s="16">
        <v>2</v>
      </c>
      <c r="C10" s="94"/>
      <c r="D10" s="94"/>
      <c r="E10" s="94"/>
    </row>
    <row r="11" spans="1:5">
      <c r="A11" s="4" t="s">
        <v>5</v>
      </c>
      <c r="B11" s="16">
        <f>1/4</f>
        <v>0.25</v>
      </c>
      <c r="C11" s="94" t="s">
        <v>17</v>
      </c>
      <c r="D11" s="94"/>
      <c r="E11" s="94"/>
    </row>
    <row r="12" spans="1:5">
      <c r="A12" s="5" t="s">
        <v>7</v>
      </c>
      <c r="B12" s="16">
        <f>10/60</f>
        <v>0.16666666666666666</v>
      </c>
      <c r="C12" s="94" t="s">
        <v>17</v>
      </c>
      <c r="D12" s="94"/>
      <c r="E12" s="94"/>
    </row>
    <row r="13" spans="1:5">
      <c r="A13" s="4" t="s">
        <v>8</v>
      </c>
      <c r="B13" s="16">
        <f>B12/(B10*B11)</f>
        <v>0.33333333333333331</v>
      </c>
      <c r="C13" s="94" t="s">
        <v>18</v>
      </c>
      <c r="D13" s="94"/>
      <c r="E13" s="94"/>
    </row>
    <row r="14" spans="1:5" ht="15.6">
      <c r="A14" s="4" t="s">
        <v>16</v>
      </c>
      <c r="B14" s="16">
        <f>((B12/B11)^0/FACT(0)+(B12/B11)^1/FACT(1)+(B12/B11)^2/FACT(2)*(B10*B11/(B10*B11-B12)))^(-1)</f>
        <v>0.5</v>
      </c>
      <c r="C14" s="94"/>
      <c r="D14" s="94"/>
      <c r="E14" s="94"/>
    </row>
    <row r="15" spans="1:5" ht="15.6">
      <c r="A15" s="4" t="s">
        <v>19</v>
      </c>
      <c r="B15" s="16">
        <f>1/FACT(1)*(B12/B11)^1*B14</f>
        <v>0.33333333333333331</v>
      </c>
      <c r="C15" s="94"/>
      <c r="D15" s="94"/>
      <c r="E15" s="94"/>
    </row>
    <row r="16" spans="1:5">
      <c r="A16" s="3"/>
      <c r="B16" s="3"/>
      <c r="C16" s="3"/>
      <c r="D16" s="3"/>
      <c r="E16" s="3"/>
    </row>
    <row r="17" spans="1:5">
      <c r="A17" s="4" t="s">
        <v>0</v>
      </c>
      <c r="B17" s="16">
        <f>1-(B14+B15)</f>
        <v>0.16666666666666674</v>
      </c>
      <c r="C17" s="94"/>
      <c r="D17" s="94"/>
      <c r="E17" s="94"/>
    </row>
    <row r="18" spans="1:5">
      <c r="A18" s="4" t="s">
        <v>12</v>
      </c>
      <c r="B18" s="19">
        <f>1-B13</f>
        <v>0.66666666666666674</v>
      </c>
      <c r="C18" s="94"/>
      <c r="D18" s="94"/>
      <c r="E18" s="94"/>
    </row>
    <row r="19" spans="1:5" ht="15.6">
      <c r="A19" s="6" t="s">
        <v>20</v>
      </c>
      <c r="B19" s="20">
        <f>(B12*B11*(B12/B11)^B10)/(FACT(B10-1)*(B10*B11-B12)^2)*B14</f>
        <v>8.3333333333333315E-2</v>
      </c>
      <c r="C19" s="94"/>
      <c r="D19" s="94"/>
      <c r="E19" s="94"/>
    </row>
    <row r="20" spans="1:5" ht="15.6">
      <c r="A20" s="6" t="s">
        <v>21</v>
      </c>
      <c r="B20" s="20">
        <f>B19+(B12/B11)</f>
        <v>0.75</v>
      </c>
      <c r="C20" s="94"/>
      <c r="D20" s="94"/>
      <c r="E20" s="94"/>
    </row>
  </sheetData>
  <mergeCells count="10">
    <mergeCell ref="C17:E17"/>
    <mergeCell ref="C18:E18"/>
    <mergeCell ref="C19:E19"/>
    <mergeCell ref="C20:E20"/>
    <mergeCell ref="C10:E10"/>
    <mergeCell ref="C11:E11"/>
    <mergeCell ref="C12:E12"/>
    <mergeCell ref="C13:E13"/>
    <mergeCell ref="C14:E14"/>
    <mergeCell ref="C15:E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8:E17"/>
  <sheetViews>
    <sheetView workbookViewId="0">
      <selection activeCell="B15" sqref="B15:E17"/>
    </sheetView>
  </sheetViews>
  <sheetFormatPr defaultRowHeight="14.4"/>
  <sheetData>
    <row r="8" spans="1:5">
      <c r="A8" s="5" t="s">
        <v>13</v>
      </c>
      <c r="B8" s="17">
        <v>2</v>
      </c>
      <c r="C8" s="95"/>
      <c r="D8" s="95"/>
      <c r="E8" s="95"/>
    </row>
    <row r="9" spans="1:5">
      <c r="A9" s="4" t="s">
        <v>5</v>
      </c>
      <c r="B9" s="17">
        <f>60/5</f>
        <v>12</v>
      </c>
      <c r="C9" s="95" t="s">
        <v>6</v>
      </c>
      <c r="D9" s="95"/>
      <c r="E9" s="95"/>
    </row>
    <row r="10" spans="1:5">
      <c r="A10" s="5" t="s">
        <v>7</v>
      </c>
      <c r="B10" s="17">
        <v>15</v>
      </c>
      <c r="C10" s="95" t="s">
        <v>6</v>
      </c>
      <c r="D10" s="95"/>
      <c r="E10" s="95"/>
    </row>
    <row r="11" spans="1:5">
      <c r="A11" s="4" t="s">
        <v>8</v>
      </c>
      <c r="B11" s="17">
        <f>B10/(B8*B9)</f>
        <v>0.625</v>
      </c>
      <c r="C11" s="95" t="s">
        <v>18</v>
      </c>
      <c r="D11" s="95"/>
      <c r="E11" s="95"/>
    </row>
    <row r="12" spans="1:5" ht="15.6">
      <c r="A12" s="4" t="s">
        <v>16</v>
      </c>
      <c r="B12" s="17">
        <f>((B10/B9)^0/FACT(0)+(B10/B9)^1/FACT(1)+(B10/B9)^2/FACT(2)*(B8*B9/(B8*B9-B10)))^(-1)</f>
        <v>0.23076923076923078</v>
      </c>
      <c r="C12" s="95"/>
      <c r="D12" s="95"/>
      <c r="E12" s="95"/>
    </row>
    <row r="13" spans="1:5" ht="15.6">
      <c r="A13" s="4" t="s">
        <v>19</v>
      </c>
      <c r="B13" s="17">
        <f>1/FACT(1)*(B10/B9)^1*B12</f>
        <v>0.28846153846153849</v>
      </c>
      <c r="C13" s="95"/>
      <c r="D13" s="95"/>
      <c r="E13" s="95"/>
    </row>
    <row r="14" spans="1:5">
      <c r="A14" s="3"/>
      <c r="B14" s="3"/>
      <c r="C14" s="3"/>
      <c r="D14" s="3"/>
      <c r="E14" s="3"/>
    </row>
    <row r="15" spans="1:5">
      <c r="A15" s="4" t="s">
        <v>0</v>
      </c>
      <c r="B15" s="17">
        <f>1-(B12+B13)</f>
        <v>0.48076923076923073</v>
      </c>
      <c r="C15" s="95"/>
      <c r="D15" s="95"/>
      <c r="E15" s="95"/>
    </row>
    <row r="16" spans="1:5">
      <c r="A16" s="4" t="s">
        <v>12</v>
      </c>
      <c r="B16" s="21">
        <f>((B10*B9*(B10/B9)^B8)/(B10*FACT(B8-1)*(B8*B9-B10)^2))*B12</f>
        <v>5.3418803418803423E-2</v>
      </c>
      <c r="C16" s="95" t="s">
        <v>6</v>
      </c>
      <c r="D16" s="95"/>
      <c r="E16" s="95"/>
    </row>
    <row r="17" spans="1:5">
      <c r="A17" s="4"/>
      <c r="B17" s="21">
        <f>B16*60</f>
        <v>3.2051282051282053</v>
      </c>
      <c r="C17" s="95" t="s">
        <v>17</v>
      </c>
      <c r="D17" s="95"/>
      <c r="E17" s="95"/>
    </row>
  </sheetData>
  <mergeCells count="9">
    <mergeCell ref="C15:E15"/>
    <mergeCell ref="C16:E16"/>
    <mergeCell ref="C17:E17"/>
    <mergeCell ref="C8:E8"/>
    <mergeCell ref="C9:E9"/>
    <mergeCell ref="C10:E10"/>
    <mergeCell ref="C11:E11"/>
    <mergeCell ref="C12:E12"/>
    <mergeCell ref="C13:E1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8:E16"/>
  <sheetViews>
    <sheetView workbookViewId="0">
      <selection activeCell="H23" sqref="H23"/>
    </sheetView>
  </sheetViews>
  <sheetFormatPr defaultRowHeight="14.4"/>
  <sheetData>
    <row r="8" spans="1:5">
      <c r="A8" s="5" t="s">
        <v>13</v>
      </c>
      <c r="B8" s="16">
        <v>3</v>
      </c>
      <c r="C8" s="94"/>
      <c r="D8" s="94"/>
      <c r="E8" s="94"/>
    </row>
    <row r="9" spans="1:5">
      <c r="A9" s="4" t="s">
        <v>5</v>
      </c>
      <c r="B9" s="16">
        <f>60/40</f>
        <v>1.5</v>
      </c>
      <c r="C9" s="94" t="s">
        <v>6</v>
      </c>
      <c r="D9" s="94"/>
      <c r="E9" s="94"/>
    </row>
    <row r="10" spans="1:5">
      <c r="A10" s="5" t="s">
        <v>7</v>
      </c>
      <c r="B10" s="16">
        <f>20/8</f>
        <v>2.5</v>
      </c>
      <c r="C10" s="94" t="s">
        <v>6</v>
      </c>
      <c r="D10" s="94"/>
      <c r="E10" s="94"/>
    </row>
    <row r="11" spans="1:5">
      <c r="A11" s="4" t="s">
        <v>8</v>
      </c>
      <c r="B11" s="16">
        <f>B10/(B8*B9)</f>
        <v>0.55555555555555558</v>
      </c>
      <c r="C11" s="94" t="s">
        <v>18</v>
      </c>
      <c r="D11" s="94"/>
      <c r="E11" s="94"/>
    </row>
    <row r="12" spans="1:5" ht="15.6">
      <c r="A12" s="4" t="s">
        <v>16</v>
      </c>
      <c r="B12" s="16">
        <f>((B10/B9)^0/FACT(0)+(B10/B9)^1/FACT(1)+(B10/B9)^2/FACT(2)+(B10/B9)^3/FACT(3)*(B8*B9/(B8*B9-B10)))^(-1)</f>
        <v>0.17266187050359708</v>
      </c>
      <c r="C12" s="94"/>
      <c r="D12" s="94"/>
      <c r="E12" s="94"/>
    </row>
    <row r="13" spans="1:5" ht="15.6">
      <c r="A13" s="4" t="s">
        <v>19</v>
      </c>
      <c r="B13" s="16">
        <f>1/FACT(1)*(B10/B9)^1*B12</f>
        <v>0.2877697841726618</v>
      </c>
      <c r="C13" s="94"/>
      <c r="D13" s="94"/>
      <c r="E13" s="94"/>
    </row>
    <row r="14" spans="1:5">
      <c r="A14" s="3"/>
      <c r="B14" s="3"/>
      <c r="C14" s="3"/>
      <c r="D14" s="3"/>
      <c r="E14" s="3"/>
    </row>
    <row r="15" spans="1:5">
      <c r="A15" s="4" t="s">
        <v>0</v>
      </c>
      <c r="B15" s="16">
        <f>B10/(B9*B8)*5*8</f>
        <v>22.222222222222221</v>
      </c>
      <c r="C15" s="94" t="s">
        <v>6</v>
      </c>
      <c r="D15" s="94"/>
      <c r="E15" s="94"/>
    </row>
    <row r="16" spans="1:5">
      <c r="A16" s="4" t="s">
        <v>12</v>
      </c>
      <c r="B16" s="20">
        <f>(((B10*B9*(B10/B9)^B8)/(B10*FACT(B8-1)*(B8*B9-B10)^2))*B12)+(1/B9)</f>
        <v>0.81654676258992798</v>
      </c>
      <c r="C16" s="94" t="s">
        <v>6</v>
      </c>
      <c r="D16" s="94"/>
      <c r="E16" s="94"/>
    </row>
  </sheetData>
  <mergeCells count="8">
    <mergeCell ref="C15:E15"/>
    <mergeCell ref="C16:E16"/>
    <mergeCell ref="C8:E8"/>
    <mergeCell ref="C9:E9"/>
    <mergeCell ref="C10:E10"/>
    <mergeCell ref="C11:E11"/>
    <mergeCell ref="C12:E12"/>
    <mergeCell ref="C13:E1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7:G19"/>
  <sheetViews>
    <sheetView workbookViewId="0">
      <selection activeCell="K16" sqref="K16"/>
    </sheetView>
  </sheetViews>
  <sheetFormatPr defaultRowHeight="14.4"/>
  <cols>
    <col min="3" max="3" width="13.6640625" bestFit="1" customWidth="1"/>
  </cols>
  <sheetData>
    <row r="7" spans="1:7" ht="15.6">
      <c r="A7" s="37" t="s">
        <v>7</v>
      </c>
      <c r="B7" s="38">
        <v>20</v>
      </c>
      <c r="C7" s="38" t="s">
        <v>31</v>
      </c>
      <c r="D7" s="36"/>
      <c r="E7" s="36"/>
      <c r="F7" s="36"/>
    </row>
    <row r="8" spans="1:7" ht="15.6">
      <c r="A8" s="35"/>
      <c r="B8" s="36"/>
      <c r="C8" s="36"/>
      <c r="D8" s="36"/>
      <c r="E8" s="36"/>
      <c r="F8" s="36"/>
    </row>
    <row r="9" spans="1:7" ht="15.6">
      <c r="A9" s="39" t="s">
        <v>30</v>
      </c>
      <c r="B9" s="38"/>
      <c r="C9" s="38"/>
      <c r="D9" s="38"/>
      <c r="E9" s="38"/>
      <c r="F9" s="38"/>
      <c r="G9" s="40"/>
    </row>
    <row r="10" spans="1:7" ht="15.6">
      <c r="A10" s="36"/>
      <c r="B10" s="36"/>
      <c r="C10" s="36"/>
      <c r="D10" s="36"/>
      <c r="E10" s="36"/>
      <c r="F10" s="36"/>
    </row>
    <row r="11" spans="1:7" ht="15.6">
      <c r="A11" s="36"/>
      <c r="B11" s="41" t="s">
        <v>32</v>
      </c>
      <c r="C11" s="42"/>
      <c r="D11" s="42"/>
      <c r="E11" s="42"/>
      <c r="F11" s="36"/>
    </row>
    <row r="12" spans="1:7" ht="15.6">
      <c r="A12" s="36"/>
      <c r="B12" s="36"/>
      <c r="C12" s="36"/>
      <c r="D12" s="36"/>
      <c r="E12" s="36"/>
      <c r="F12" s="36"/>
    </row>
    <row r="13" spans="1:7" ht="15.6">
      <c r="A13" s="36"/>
      <c r="B13" s="43" t="s">
        <v>33</v>
      </c>
      <c r="C13" s="44"/>
      <c r="D13" s="45"/>
      <c r="E13" s="36"/>
      <c r="F13" s="36"/>
    </row>
    <row r="14" spans="1:7" ht="15.6">
      <c r="A14" s="36"/>
      <c r="B14" s="46"/>
      <c r="C14" s="47"/>
      <c r="D14" s="48"/>
      <c r="E14" s="36"/>
      <c r="F14" s="36"/>
    </row>
    <row r="15" spans="1:7" ht="15.6">
      <c r="A15" s="36"/>
      <c r="B15" s="49" t="s">
        <v>34</v>
      </c>
      <c r="C15" s="47"/>
      <c r="D15" s="48"/>
      <c r="E15" s="36"/>
      <c r="F15" s="36"/>
    </row>
    <row r="16" spans="1:7" ht="15.6">
      <c r="A16" s="36"/>
      <c r="B16" s="46"/>
      <c r="C16" s="47"/>
      <c r="D16" s="48"/>
      <c r="E16" s="36"/>
      <c r="F16" s="36"/>
    </row>
    <row r="17" spans="1:6" ht="15.6">
      <c r="A17" s="36"/>
      <c r="B17" s="50" t="s">
        <v>35</v>
      </c>
      <c r="C17" s="51"/>
      <c r="D17" s="52"/>
      <c r="E17" s="36"/>
      <c r="F17" s="36"/>
    </row>
    <row r="18" spans="1:6" ht="15.6">
      <c r="B18" s="34"/>
      <c r="C18" s="36"/>
      <c r="D18" s="36"/>
      <c r="E18" s="36"/>
      <c r="F18" s="36"/>
    </row>
    <row r="19" spans="1:6" ht="15.6">
      <c r="E19" s="36"/>
      <c r="F19" s="36"/>
    </row>
  </sheetData>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dimension ref="B7:L20"/>
  <sheetViews>
    <sheetView workbookViewId="0">
      <selection activeCell="F12" sqref="F12"/>
    </sheetView>
  </sheetViews>
  <sheetFormatPr defaultRowHeight="14.4"/>
  <sheetData>
    <row r="7" spans="2:12">
      <c r="B7" s="97" t="s">
        <v>22</v>
      </c>
      <c r="C7" s="97"/>
      <c r="D7" s="97"/>
      <c r="E7" s="97"/>
      <c r="F7" s="97"/>
      <c r="G7" s="97"/>
    </row>
    <row r="8" spans="2:12">
      <c r="B8" s="7" t="s">
        <v>13</v>
      </c>
      <c r="C8" s="22">
        <v>4</v>
      </c>
      <c r="D8" s="23"/>
      <c r="E8" s="3"/>
      <c r="F8" s="3"/>
      <c r="G8" s="3"/>
    </row>
    <row r="9" spans="2:12">
      <c r="B9" s="8" t="s">
        <v>7</v>
      </c>
      <c r="C9" s="16">
        <v>10</v>
      </c>
      <c r="D9" s="15" t="s">
        <v>6</v>
      </c>
      <c r="E9" s="3"/>
      <c r="F9" s="3"/>
      <c r="G9" s="3"/>
    </row>
    <row r="10" spans="2:12">
      <c r="B10" s="4" t="s">
        <v>5</v>
      </c>
      <c r="C10" s="16">
        <f>C9/2</f>
        <v>5</v>
      </c>
      <c r="D10" s="15" t="s">
        <v>6</v>
      </c>
      <c r="E10" s="3"/>
      <c r="F10" s="3"/>
      <c r="G10" s="3"/>
    </row>
    <row r="11" spans="2:12">
      <c r="B11" s="4" t="s">
        <v>8</v>
      </c>
      <c r="C11" s="16">
        <f>C9/(C10*C8)</f>
        <v>0.5</v>
      </c>
      <c r="D11" s="15"/>
      <c r="E11" s="3"/>
      <c r="F11" s="3"/>
      <c r="G11" s="3"/>
    </row>
    <row r="12" spans="2:12" ht="15.6">
      <c r="B12" s="4" t="s">
        <v>16</v>
      </c>
      <c r="C12" s="16">
        <f>1/((C9/C10)^0/FACT(0)+(C9/C10)^1/FACT(1)+(C9/C10)^2/FACT(2)+(C9/C10)^3/FACT(3)+((C9/C10)^C8/FACT(C8)*(C8*C10/(C8*C10-C9))))</f>
        <v>0.13043478260869565</v>
      </c>
      <c r="D12" s="15"/>
      <c r="E12" s="3"/>
      <c r="F12" s="3"/>
      <c r="G12" s="3"/>
    </row>
    <row r="13" spans="2:12" ht="15.6">
      <c r="B13" s="6" t="s">
        <v>23</v>
      </c>
      <c r="C13" s="16">
        <f>((C9*C10*(C9/C10)^C8)/(FACT(C8-1)*(C8*C10-C9)^2)*C12)</f>
        <v>0.17391304347826086</v>
      </c>
      <c r="D13" s="15"/>
      <c r="E13" s="3"/>
      <c r="F13" s="3"/>
      <c r="G13" s="3"/>
    </row>
    <row r="14" spans="2:12">
      <c r="G14" s="96"/>
      <c r="H14" s="96"/>
      <c r="I14" s="96"/>
      <c r="J14" s="96"/>
      <c r="K14" s="96"/>
      <c r="L14" s="96"/>
    </row>
    <row r="15" spans="2:12">
      <c r="G15" s="96"/>
      <c r="H15" s="96"/>
      <c r="I15" s="96"/>
      <c r="J15" s="96"/>
      <c r="K15" s="96"/>
      <c r="L15" s="96"/>
    </row>
    <row r="16" spans="2:12">
      <c r="G16" s="12"/>
      <c r="H16" s="10"/>
      <c r="I16" s="11"/>
      <c r="J16" s="11"/>
      <c r="K16" s="11"/>
      <c r="L16" s="11"/>
    </row>
    <row r="17" spans="7:12">
      <c r="G17" s="9"/>
      <c r="H17" s="10"/>
      <c r="I17" s="11"/>
      <c r="J17" s="11"/>
      <c r="K17" s="11"/>
      <c r="L17" s="11"/>
    </row>
    <row r="18" spans="7:12">
      <c r="G18" s="9"/>
      <c r="H18" s="10"/>
      <c r="I18" s="11"/>
      <c r="J18" s="11"/>
      <c r="K18" s="11"/>
      <c r="L18" s="11"/>
    </row>
    <row r="19" spans="7:12">
      <c r="G19" s="9"/>
      <c r="H19" s="10"/>
      <c r="I19" s="11"/>
      <c r="J19" s="11"/>
      <c r="K19" s="11"/>
      <c r="L19" s="11"/>
    </row>
    <row r="20" spans="7:12">
      <c r="G20" s="13"/>
      <c r="H20" s="10"/>
      <c r="I20" s="11"/>
      <c r="J20" s="11"/>
      <c r="K20" s="11"/>
      <c r="L20" s="11"/>
    </row>
  </sheetData>
  <mergeCells count="3">
    <mergeCell ref="G14:L14"/>
    <mergeCell ref="B7:G7"/>
    <mergeCell ref="G15:L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B9:Q26"/>
  <sheetViews>
    <sheetView topLeftCell="A6" workbookViewId="0">
      <selection activeCell="F25" sqref="F25:F26"/>
    </sheetView>
  </sheetViews>
  <sheetFormatPr defaultRowHeight="14.4"/>
  <sheetData>
    <row r="9" spans="2:17">
      <c r="B9" s="53" t="s">
        <v>36</v>
      </c>
      <c r="C9" s="81">
        <v>2</v>
      </c>
      <c r="D9" s="81" t="s">
        <v>37</v>
      </c>
    </row>
    <row r="10" spans="2:17">
      <c r="B10" s="55" t="s">
        <v>38</v>
      </c>
      <c r="C10" s="81">
        <v>3</v>
      </c>
      <c r="D10" s="81" t="s">
        <v>37</v>
      </c>
      <c r="E10" s="54"/>
      <c r="F10" s="54"/>
      <c r="G10" s="54"/>
      <c r="H10" s="54"/>
      <c r="I10" s="54"/>
      <c r="J10" s="54"/>
      <c r="K10" s="54"/>
      <c r="L10" s="54"/>
      <c r="M10" s="54"/>
      <c r="N10" s="54"/>
      <c r="O10" s="54"/>
      <c r="P10" s="54"/>
      <c r="Q10" s="54"/>
    </row>
    <row r="11" spans="2:17">
      <c r="B11" s="55" t="s">
        <v>8</v>
      </c>
      <c r="C11" s="81">
        <f>C10/C9</f>
        <v>1.5</v>
      </c>
      <c r="D11" s="81"/>
      <c r="E11" s="54"/>
      <c r="F11" s="54"/>
      <c r="G11" s="54"/>
      <c r="H11" s="54"/>
      <c r="I11" s="54"/>
      <c r="J11" s="54"/>
      <c r="K11" s="54"/>
      <c r="L11" s="54"/>
      <c r="M11" s="54"/>
      <c r="N11" s="54"/>
      <c r="O11" s="54"/>
      <c r="P11" s="54"/>
      <c r="Q11" s="54"/>
    </row>
    <row r="12" spans="2:17" ht="15.6">
      <c r="B12" s="98" t="s">
        <v>39</v>
      </c>
      <c r="C12" s="99"/>
      <c r="D12" s="100"/>
      <c r="E12" s="54"/>
      <c r="F12" s="54"/>
      <c r="G12" s="54"/>
      <c r="H12" s="54"/>
      <c r="I12" s="54"/>
      <c r="J12" s="54"/>
      <c r="K12" s="54"/>
      <c r="L12" s="54"/>
      <c r="M12" s="54"/>
      <c r="N12" s="54"/>
      <c r="O12" s="54"/>
      <c r="P12" s="54"/>
      <c r="Q12" s="54"/>
    </row>
    <row r="13" spans="2:17">
      <c r="E13" s="54"/>
      <c r="F13" s="54"/>
      <c r="G13" s="54"/>
      <c r="H13" s="54"/>
      <c r="I13" s="54"/>
      <c r="J13" s="54"/>
      <c r="K13" s="54"/>
      <c r="L13" s="54"/>
      <c r="M13" s="54"/>
      <c r="N13" s="54"/>
      <c r="O13" s="54"/>
      <c r="P13" s="54"/>
      <c r="Q13" s="54"/>
    </row>
    <row r="14" spans="2:17">
      <c r="B14" s="101" t="s">
        <v>40</v>
      </c>
      <c r="C14" s="102"/>
      <c r="D14" s="102"/>
      <c r="E14" s="102"/>
      <c r="F14" s="102"/>
      <c r="G14" s="102"/>
      <c r="H14" s="102"/>
      <c r="I14" s="102"/>
      <c r="J14" s="102"/>
      <c r="K14" s="102"/>
      <c r="L14" s="102"/>
      <c r="M14" s="102"/>
      <c r="N14" s="102"/>
      <c r="O14" s="102"/>
      <c r="P14" s="102"/>
      <c r="Q14" s="103"/>
    </row>
    <row r="15" spans="2:17">
      <c r="E15" s="54"/>
      <c r="F15" s="54"/>
      <c r="G15" s="54"/>
      <c r="H15" s="54"/>
      <c r="I15" s="54"/>
      <c r="J15" s="54"/>
      <c r="K15" s="54"/>
      <c r="L15" s="54"/>
      <c r="M15" s="54"/>
      <c r="N15" s="54"/>
      <c r="O15" s="54"/>
      <c r="P15" s="54"/>
      <c r="Q15" s="54"/>
    </row>
    <row r="16" spans="2:17">
      <c r="E16" s="54"/>
      <c r="F16" s="54"/>
      <c r="G16" s="54"/>
      <c r="H16" s="54"/>
      <c r="I16" s="54"/>
      <c r="J16" s="54"/>
      <c r="K16" s="54"/>
      <c r="L16" s="54"/>
      <c r="M16" s="54"/>
      <c r="N16" s="54"/>
      <c r="O16" s="54"/>
      <c r="P16" s="54"/>
      <c r="Q16" s="54"/>
    </row>
    <row r="17" spans="2:17">
      <c r="E17" s="54"/>
      <c r="I17" s="54"/>
      <c r="J17" s="54"/>
      <c r="K17" s="54"/>
      <c r="L17" s="54"/>
      <c r="M17" s="54"/>
      <c r="N17" s="54"/>
      <c r="O17" s="54"/>
      <c r="P17" s="54"/>
      <c r="Q17" s="54"/>
    </row>
    <row r="18" spans="2:17" ht="15.6">
      <c r="B18" s="56">
        <v>0</v>
      </c>
      <c r="C18" s="57" t="s">
        <v>16</v>
      </c>
      <c r="D18" s="81">
        <f>(EXP(-$C$9)*$C$9^B18)/FACT(B18)</f>
        <v>0.1353352832366127</v>
      </c>
      <c r="E18" s="54"/>
      <c r="I18" s="54"/>
      <c r="J18" s="54"/>
      <c r="K18" s="54"/>
      <c r="L18" s="54"/>
      <c r="M18" s="54"/>
      <c r="N18" s="54"/>
      <c r="O18" s="54"/>
      <c r="P18" s="54"/>
      <c r="Q18" s="54"/>
    </row>
    <row r="19" spans="2:17" ht="15.6">
      <c r="B19" s="56">
        <v>1</v>
      </c>
      <c r="C19" s="57" t="s">
        <v>19</v>
      </c>
      <c r="D19" s="81">
        <f>(EXP(-$C$9)*$C$9^B19)/FACT(B19)</f>
        <v>0.2706705664732254</v>
      </c>
      <c r="E19" s="54"/>
      <c r="I19" s="54"/>
      <c r="J19" s="54"/>
      <c r="K19" s="54"/>
      <c r="L19" s="54"/>
      <c r="M19" s="54"/>
      <c r="N19" s="54"/>
      <c r="O19" s="54"/>
      <c r="P19" s="54"/>
      <c r="Q19" s="54"/>
    </row>
    <row r="20" spans="2:17" ht="15.6">
      <c r="B20" s="56">
        <v>2</v>
      </c>
      <c r="C20" s="57" t="s">
        <v>41</v>
      </c>
      <c r="D20" s="81">
        <f>(EXP(-$C$9)*$C$9^B20)/FACT(B20)</f>
        <v>0.2706705664732254</v>
      </c>
      <c r="E20" s="54"/>
      <c r="I20" s="54"/>
      <c r="J20" s="54"/>
      <c r="K20" s="54"/>
      <c r="L20" s="54"/>
      <c r="M20" s="54"/>
      <c r="N20" s="54"/>
      <c r="O20" s="54"/>
      <c r="P20" s="54"/>
      <c r="Q20" s="54"/>
    </row>
    <row r="21" spans="2:17" ht="15.6">
      <c r="B21" s="56">
        <v>3</v>
      </c>
      <c r="C21" s="57" t="s">
        <v>42</v>
      </c>
      <c r="D21" s="81">
        <f>(EXP(-$C$9)*$C$9^B21)/FACT(B21)</f>
        <v>0.18044704431548361</v>
      </c>
      <c r="E21" s="54"/>
      <c r="I21" s="54"/>
      <c r="J21" s="54"/>
      <c r="K21" s="54"/>
      <c r="L21" s="54"/>
      <c r="M21" s="54"/>
      <c r="N21" s="54"/>
      <c r="O21" s="54"/>
      <c r="P21" s="54"/>
      <c r="Q21" s="54"/>
    </row>
    <row r="22" spans="2:17" ht="15.6">
      <c r="B22" s="56">
        <v>4</v>
      </c>
      <c r="C22" s="57" t="s">
        <v>43</v>
      </c>
      <c r="D22" s="81">
        <f>(EXP(-$C$9)*$C$9^B22)/FACT(B22)</f>
        <v>9.0223522157741806E-2</v>
      </c>
      <c r="I22" s="54"/>
      <c r="J22" s="54"/>
      <c r="K22" s="54"/>
      <c r="L22" s="54"/>
      <c r="M22" s="54"/>
      <c r="N22" s="54"/>
      <c r="O22" s="54"/>
      <c r="P22" s="54"/>
      <c r="Q22" s="54"/>
    </row>
    <row r="23" spans="2:17">
      <c r="B23" s="104" t="s">
        <v>44</v>
      </c>
      <c r="C23" s="105"/>
      <c r="D23" s="55">
        <f>SUM(D18:D22)</f>
        <v>0.94734698265628892</v>
      </c>
      <c r="G23" s="54"/>
      <c r="H23" s="54"/>
      <c r="I23" s="54"/>
      <c r="J23" s="54"/>
      <c r="K23" s="54"/>
      <c r="L23" s="54"/>
      <c r="M23" s="54"/>
      <c r="N23" s="54"/>
      <c r="O23" s="54"/>
      <c r="P23" s="54"/>
      <c r="Q23" s="54"/>
    </row>
    <row r="24" spans="2:17">
      <c r="B24" s="54"/>
      <c r="C24" s="54"/>
      <c r="D24" s="54"/>
      <c r="E24" s="54"/>
      <c r="F24" s="54"/>
      <c r="G24" s="54"/>
      <c r="H24" s="54"/>
      <c r="I24" s="54"/>
      <c r="J24" s="54"/>
      <c r="K24" s="54"/>
      <c r="L24" s="54"/>
      <c r="M24" s="54"/>
      <c r="N24" s="54"/>
      <c r="O24" s="54"/>
      <c r="P24" s="54"/>
      <c r="Q24" s="54"/>
    </row>
    <row r="25" spans="2:17">
      <c r="B25" s="106" t="s">
        <v>45</v>
      </c>
      <c r="C25" s="106"/>
      <c r="D25" s="106"/>
      <c r="E25" s="106"/>
      <c r="F25" s="82">
        <f>C11</f>
        <v>1.5</v>
      </c>
      <c r="G25" s="54"/>
      <c r="H25" s="54"/>
      <c r="I25" s="54"/>
      <c r="J25" s="54"/>
      <c r="K25" s="54"/>
      <c r="L25" s="54"/>
      <c r="M25" s="54"/>
      <c r="N25" s="54"/>
      <c r="O25" s="54"/>
      <c r="P25" s="54"/>
      <c r="Q25" s="54"/>
    </row>
    <row r="26" spans="2:17">
      <c r="B26" s="107" t="s">
        <v>46</v>
      </c>
      <c r="C26" s="107"/>
      <c r="D26" s="107"/>
      <c r="E26" s="107"/>
      <c r="F26" s="83">
        <f>1-D23</f>
        <v>5.2653017343711084E-2</v>
      </c>
      <c r="G26" s="54"/>
      <c r="H26" s="54"/>
      <c r="I26" s="54"/>
      <c r="J26" s="54"/>
      <c r="K26" s="54"/>
      <c r="L26" s="54"/>
      <c r="M26" s="54"/>
      <c r="N26" s="54"/>
      <c r="O26" s="54"/>
      <c r="P26" s="54"/>
      <c r="Q26" s="54"/>
    </row>
  </sheetData>
  <mergeCells count="5">
    <mergeCell ref="B12:D12"/>
    <mergeCell ref="B14:Q14"/>
    <mergeCell ref="B23:C23"/>
    <mergeCell ref="B25:E25"/>
    <mergeCell ref="B26:E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B9:G21"/>
  <sheetViews>
    <sheetView workbookViewId="0">
      <selection activeCell="I15" sqref="I15"/>
    </sheetView>
  </sheetViews>
  <sheetFormatPr defaultRowHeight="14.4"/>
  <sheetData>
    <row r="9" spans="2:7">
      <c r="B9" s="70" t="s">
        <v>57</v>
      </c>
      <c r="C9" s="66"/>
      <c r="D9" s="66"/>
      <c r="E9" s="67"/>
      <c r="F9" s="67"/>
      <c r="G9" s="67"/>
    </row>
    <row r="10" spans="2:7">
      <c r="B10" s="66" t="s">
        <v>58</v>
      </c>
      <c r="C10" s="66"/>
      <c r="D10" s="66"/>
    </row>
    <row r="11" spans="2:7">
      <c r="B11" s="66" t="s">
        <v>59</v>
      </c>
      <c r="C11" s="66"/>
      <c r="D11" s="66"/>
    </row>
    <row r="12" spans="2:7">
      <c r="B12" s="66" t="s">
        <v>50</v>
      </c>
      <c r="C12" s="66"/>
      <c r="D12" s="66"/>
    </row>
    <row r="13" spans="2:7">
      <c r="B13" s="66" t="s">
        <v>7</v>
      </c>
      <c r="C13" s="66">
        <v>2.5000000000000001E-5</v>
      </c>
      <c r="D13" s="66" t="s">
        <v>60</v>
      </c>
    </row>
    <row r="14" spans="2:7">
      <c r="B14" s="59"/>
      <c r="C14" s="59"/>
      <c r="D14" s="59"/>
    </row>
    <row r="15" spans="2:7">
      <c r="B15" s="59"/>
      <c r="C15" s="59"/>
      <c r="D15" s="59"/>
    </row>
    <row r="16" spans="2:7">
      <c r="B16" s="108" t="s">
        <v>61</v>
      </c>
      <c r="C16" s="68">
        <v>2</v>
      </c>
      <c r="D16" s="68" t="s">
        <v>62</v>
      </c>
    </row>
    <row r="17" spans="2:4">
      <c r="B17" s="108"/>
      <c r="C17" s="68">
        <v>60</v>
      </c>
      <c r="D17" s="68" t="s">
        <v>63</v>
      </c>
    </row>
    <row r="18" spans="2:4">
      <c r="B18" s="108"/>
      <c r="C18" s="68">
        <v>1440</v>
      </c>
      <c r="D18" s="68" t="s">
        <v>64</v>
      </c>
    </row>
    <row r="19" spans="2:4">
      <c r="B19" s="66" t="s">
        <v>65</v>
      </c>
      <c r="C19" s="68">
        <f>1-(1-EXP(-C13*C18))</f>
        <v>0.96464029348312308</v>
      </c>
      <c r="D19" s="68"/>
    </row>
    <row r="20" spans="2:4">
      <c r="B20" s="66" t="s">
        <v>66</v>
      </c>
      <c r="C20" s="68">
        <f>1/C13</f>
        <v>40000</v>
      </c>
      <c r="D20" s="68"/>
    </row>
    <row r="21" spans="2:4">
      <c r="B21" s="66" t="s">
        <v>67</v>
      </c>
      <c r="C21" s="68">
        <f>1-(1-EXP(-C13*C20))</f>
        <v>0.36787944117144233</v>
      </c>
      <c r="D21" s="68"/>
    </row>
  </sheetData>
  <mergeCells count="1">
    <mergeCell ref="B16:B1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B9:I20"/>
  <sheetViews>
    <sheetView workbookViewId="0">
      <selection activeCell="K11" sqref="K11"/>
    </sheetView>
  </sheetViews>
  <sheetFormatPr defaultRowHeight="14.4"/>
  <sheetData>
    <row r="9" spans="2:9">
      <c r="B9" s="109" t="s">
        <v>47</v>
      </c>
      <c r="C9" s="110"/>
      <c r="D9" s="110"/>
      <c r="E9" s="110"/>
      <c r="F9" s="110"/>
      <c r="G9" s="110"/>
      <c r="H9" s="110"/>
    </row>
    <row r="12" spans="2:9">
      <c r="B12" s="62" t="s">
        <v>51</v>
      </c>
      <c r="C12" s="62"/>
      <c r="D12" s="63"/>
      <c r="E12" s="60"/>
    </row>
    <row r="13" spans="2:9">
      <c r="B13" s="58" t="s">
        <v>7</v>
      </c>
      <c r="C13" s="68">
        <f>LN(0.5)/(-100)</f>
        <v>6.9314718055994533E-3</v>
      </c>
      <c r="D13" s="69"/>
      <c r="E13" s="69"/>
      <c r="H13" s="64" t="s">
        <v>48</v>
      </c>
      <c r="I13" s="65"/>
    </row>
    <row r="14" spans="2:9">
      <c r="B14" s="58" t="s">
        <v>52</v>
      </c>
      <c r="C14" s="68">
        <f>1-(1-EXP(-100*C13))</f>
        <v>0.5</v>
      </c>
      <c r="D14" s="69"/>
      <c r="E14" s="69"/>
      <c r="H14" s="64" t="s">
        <v>49</v>
      </c>
      <c r="I14" s="65"/>
    </row>
    <row r="15" spans="2:9">
      <c r="B15" s="58" t="s">
        <v>53</v>
      </c>
      <c r="C15" s="68">
        <f>1-(1-EXP(-500*C13))</f>
        <v>3.125E-2</v>
      </c>
      <c r="D15" s="69"/>
      <c r="E15" s="69"/>
      <c r="H15" s="64" t="s">
        <v>50</v>
      </c>
      <c r="I15" s="65"/>
    </row>
    <row r="16" spans="2:9">
      <c r="B16" s="58" t="s">
        <v>54</v>
      </c>
      <c r="C16" s="68">
        <f>(1-(EXP(-1000*C13))-(1-(EXP(-500*C13))))/((EXP(-500*C13)))</f>
        <v>0.96875</v>
      </c>
      <c r="D16" s="69"/>
      <c r="E16" s="69"/>
    </row>
    <row r="17" spans="2:8">
      <c r="B17" s="58" t="s">
        <v>55</v>
      </c>
      <c r="C17" s="68"/>
      <c r="D17" s="69"/>
      <c r="E17" s="69"/>
    </row>
    <row r="18" spans="2:8">
      <c r="B18" s="58" t="s">
        <v>56</v>
      </c>
      <c r="C18" s="68"/>
      <c r="D18" s="69"/>
      <c r="E18" s="69"/>
    </row>
    <row r="19" spans="2:8">
      <c r="B19" s="61"/>
      <c r="C19" s="61"/>
      <c r="D19" s="61"/>
      <c r="E19" s="61"/>
      <c r="F19" s="61"/>
      <c r="G19" s="61"/>
      <c r="H19" s="61"/>
    </row>
    <row r="20" spans="2:8">
      <c r="B20" s="61"/>
      <c r="C20" s="61"/>
      <c r="D20" s="61"/>
      <c r="E20" s="61"/>
      <c r="F20" s="61"/>
      <c r="G20" s="61"/>
      <c r="H20" s="61"/>
    </row>
  </sheetData>
  <mergeCells count="1">
    <mergeCell ref="B9:H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B9:M19"/>
  <sheetViews>
    <sheetView workbookViewId="0">
      <selection activeCell="I17" sqref="I17"/>
    </sheetView>
  </sheetViews>
  <sheetFormatPr defaultRowHeight="14.4"/>
  <sheetData>
    <row r="9" spans="2:13">
      <c r="B9" s="67" t="s">
        <v>66</v>
      </c>
      <c r="C9" s="69">
        <v>2450</v>
      </c>
    </row>
    <row r="11" spans="2:13">
      <c r="B11" s="85" t="s">
        <v>76</v>
      </c>
      <c r="C11" s="111" t="s">
        <v>68</v>
      </c>
      <c r="D11" s="111"/>
      <c r="E11" s="69">
        <f>1/C9</f>
        <v>4.0816326530612246E-4</v>
      </c>
      <c r="F11" s="69" t="s">
        <v>69</v>
      </c>
      <c r="G11" s="69"/>
    </row>
    <row r="12" spans="2:13">
      <c r="B12" s="85" t="s">
        <v>77</v>
      </c>
      <c r="C12" s="111" t="s">
        <v>70</v>
      </c>
      <c r="D12" s="111"/>
      <c r="E12" s="111"/>
      <c r="F12" s="111"/>
      <c r="G12" s="111"/>
      <c r="H12" s="111"/>
      <c r="I12" s="111"/>
      <c r="J12" s="111"/>
      <c r="K12" s="111"/>
      <c r="L12" s="111"/>
      <c r="M12" s="111"/>
    </row>
    <row r="13" spans="2:13">
      <c r="C13" s="71" t="s">
        <v>71</v>
      </c>
      <c r="D13" s="84">
        <v>3</v>
      </c>
      <c r="E13" s="84" t="s">
        <v>62</v>
      </c>
    </row>
    <row r="14" spans="2:13">
      <c r="C14" s="67"/>
      <c r="D14" s="69">
        <f>D13*30</f>
        <v>90</v>
      </c>
      <c r="E14" s="69" t="s">
        <v>63</v>
      </c>
    </row>
    <row r="15" spans="2:13">
      <c r="C15" s="67" t="s">
        <v>72</v>
      </c>
      <c r="D15" s="69">
        <f>EXP(-E11*D14)</f>
        <v>0.96393183844611829</v>
      </c>
    </row>
    <row r="16" spans="2:13">
      <c r="B16" s="86" t="s">
        <v>78</v>
      </c>
      <c r="C16" s="67" t="s">
        <v>73</v>
      </c>
      <c r="D16" s="69">
        <f>45/100</f>
        <v>0.45</v>
      </c>
    </row>
    <row r="17" spans="2:8">
      <c r="B17" s="72"/>
      <c r="C17" s="67" t="s">
        <v>74</v>
      </c>
      <c r="D17" s="69">
        <f>C9/D16</f>
        <v>5444.4444444444443</v>
      </c>
    </row>
    <row r="18" spans="2:8">
      <c r="B18" s="72"/>
      <c r="C18" s="111" t="s">
        <v>75</v>
      </c>
      <c r="D18" s="111"/>
      <c r="E18" s="111"/>
      <c r="F18" s="111"/>
      <c r="G18" s="111"/>
      <c r="H18" s="111"/>
    </row>
    <row r="19" spans="2:8">
      <c r="B19" s="72"/>
      <c r="C19" s="72"/>
    </row>
  </sheetData>
  <mergeCells count="3">
    <mergeCell ref="C11:D11"/>
    <mergeCell ref="C12:M12"/>
    <mergeCell ref="C18:H1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B11:G31"/>
  <sheetViews>
    <sheetView topLeftCell="A13" workbookViewId="0">
      <selection activeCell="I24" sqref="I24"/>
    </sheetView>
  </sheetViews>
  <sheetFormatPr defaultRowHeight="14.4"/>
  <sheetData>
    <row r="11" spans="2:7">
      <c r="B11" s="73" t="s">
        <v>36</v>
      </c>
      <c r="C11" s="81">
        <f>60/12</f>
        <v>5</v>
      </c>
      <c r="D11" s="81" t="s">
        <v>6</v>
      </c>
    </row>
    <row r="12" spans="2:7">
      <c r="B12" s="55" t="s">
        <v>38</v>
      </c>
      <c r="C12" s="81">
        <v>10</v>
      </c>
      <c r="D12" s="81" t="s">
        <v>79</v>
      </c>
      <c r="E12" s="69"/>
    </row>
    <row r="14" spans="2:7" ht="28.8">
      <c r="B14" s="75" t="s">
        <v>82</v>
      </c>
      <c r="C14" s="74" t="s">
        <v>81</v>
      </c>
      <c r="D14" s="112" t="s">
        <v>80</v>
      </c>
      <c r="E14" s="113"/>
      <c r="F14" s="113"/>
      <c r="G14" s="114"/>
    </row>
    <row r="15" spans="2:7">
      <c r="B15" s="81">
        <v>1</v>
      </c>
      <c r="C15" s="81">
        <f>'Q12'!$C$11*B15</f>
        <v>5</v>
      </c>
      <c r="D15" s="81">
        <v>0</v>
      </c>
      <c r="E15" s="81">
        <v>1</v>
      </c>
      <c r="F15" s="81">
        <v>2</v>
      </c>
      <c r="G15" s="81">
        <v>3</v>
      </c>
    </row>
    <row r="16" spans="2:7">
      <c r="B16" s="81">
        <v>2</v>
      </c>
      <c r="C16" s="81">
        <f>'Q12'!$C$11*B16</f>
        <v>10</v>
      </c>
      <c r="D16" s="81">
        <v>4</v>
      </c>
      <c r="E16" s="81">
        <v>5</v>
      </c>
      <c r="F16" s="81">
        <v>6</v>
      </c>
      <c r="G16" s="81"/>
    </row>
    <row r="17" spans="2:7">
      <c r="B17" s="81">
        <v>3</v>
      </c>
      <c r="C17" s="81">
        <f>'Q12'!$C$11*B17</f>
        <v>15</v>
      </c>
      <c r="D17" s="81">
        <v>7</v>
      </c>
      <c r="E17" s="81"/>
      <c r="F17" s="81"/>
      <c r="G17" s="81"/>
    </row>
    <row r="19" spans="2:7" ht="43.8">
      <c r="B19" s="75" t="s">
        <v>80</v>
      </c>
      <c r="C19" s="75" t="s">
        <v>87</v>
      </c>
      <c r="D19" s="75" t="s">
        <v>86</v>
      </c>
      <c r="E19" s="74" t="s">
        <v>85</v>
      </c>
      <c r="F19" s="74" t="s">
        <v>84</v>
      </c>
    </row>
    <row r="20" spans="2:7">
      <c r="B20" s="81">
        <v>1</v>
      </c>
      <c r="C20" s="81">
        <f>'Q12'!C12/'Q12'!C15</f>
        <v>2</v>
      </c>
      <c r="D20" s="87">
        <f>C20*'Q12'!$D$29</f>
        <v>3.6363636363636362E-2</v>
      </c>
      <c r="E20" s="81">
        <f t="shared" ref="E20:E26" si="0">IF(B20&lt;4,2,IF(B20&gt;6,0,1))</f>
        <v>2</v>
      </c>
      <c r="F20" s="88">
        <f t="shared" ref="F20:F26" si="1">D20*E20</f>
        <v>7.2727272727272724E-2</v>
      </c>
    </row>
    <row r="21" spans="2:7">
      <c r="B21" s="81">
        <v>2</v>
      </c>
      <c r="C21" s="81">
        <f>'Q12'!C12*C20/'Q12'!C15</f>
        <v>4</v>
      </c>
      <c r="D21" s="87">
        <f>C21*'Q12'!$D$29</f>
        <v>7.2727272727272724E-2</v>
      </c>
      <c r="E21" s="81">
        <f t="shared" si="0"/>
        <v>2</v>
      </c>
      <c r="F21" s="88">
        <f t="shared" si="1"/>
        <v>0.14545454545454545</v>
      </c>
    </row>
    <row r="22" spans="2:7">
      <c r="B22" s="81">
        <v>3</v>
      </c>
      <c r="C22" s="81">
        <f>C21*'Q12'!C12/'Q12'!C15</f>
        <v>8</v>
      </c>
      <c r="D22" s="87">
        <f>C22*'Q12'!$D$29</f>
        <v>0.14545454545454545</v>
      </c>
      <c r="E22" s="81">
        <f t="shared" si="0"/>
        <v>2</v>
      </c>
      <c r="F22" s="88">
        <f t="shared" si="1"/>
        <v>0.29090909090909089</v>
      </c>
    </row>
    <row r="23" spans="2:7">
      <c r="B23" s="81">
        <v>4</v>
      </c>
      <c r="C23" s="81">
        <f>C22*'Q12'!C12/'Q12'!C16</f>
        <v>8</v>
      </c>
      <c r="D23" s="87">
        <f>C23*'Q12'!$D$29</f>
        <v>0.14545454545454545</v>
      </c>
      <c r="E23" s="81">
        <f t="shared" si="0"/>
        <v>1</v>
      </c>
      <c r="F23" s="88">
        <f t="shared" si="1"/>
        <v>0.14545454545454545</v>
      </c>
    </row>
    <row r="24" spans="2:7">
      <c r="B24" s="81">
        <v>5</v>
      </c>
      <c r="C24" s="81">
        <f>C23*'Q12'!C12/'Q12'!C16</f>
        <v>8</v>
      </c>
      <c r="D24" s="87">
        <f>C24*'Q12'!$D$29</f>
        <v>0.14545454545454545</v>
      </c>
      <c r="E24" s="81">
        <f t="shared" si="0"/>
        <v>1</v>
      </c>
      <c r="F24" s="88">
        <f t="shared" si="1"/>
        <v>0.14545454545454545</v>
      </c>
    </row>
    <row r="25" spans="2:7">
      <c r="B25" s="81">
        <v>6</v>
      </c>
      <c r="C25" s="81">
        <f>C24*'Q12'!C12/'Q12'!C16</f>
        <v>8</v>
      </c>
      <c r="D25" s="87">
        <f>C25*'Q12'!$D$29</f>
        <v>0.14545454545454545</v>
      </c>
      <c r="E25" s="81">
        <f t="shared" si="0"/>
        <v>1</v>
      </c>
      <c r="F25" s="88">
        <f t="shared" si="1"/>
        <v>0.14545454545454545</v>
      </c>
    </row>
    <row r="26" spans="2:7">
      <c r="B26" s="76" t="s">
        <v>83</v>
      </c>
      <c r="C26" s="81">
        <f>C25*'Q12'!C12/'Q12'!C17*(1/(1-'Q12'!C12/'Q12'!C17))</f>
        <v>15.999999999999996</v>
      </c>
      <c r="D26" s="87">
        <f>C26*'Q12'!$D$29</f>
        <v>0.29090909090909084</v>
      </c>
      <c r="E26" s="81">
        <f t="shared" si="0"/>
        <v>0</v>
      </c>
      <c r="F26" s="89">
        <f t="shared" si="1"/>
        <v>0</v>
      </c>
    </row>
    <row r="27" spans="2:7">
      <c r="F27" s="90">
        <f>1-SUM('Q12'!F20:F26)</f>
        <v>5.4545454545454453E-2</v>
      </c>
    </row>
    <row r="29" spans="2:7" ht="15.6">
      <c r="B29" s="106" t="s">
        <v>16</v>
      </c>
      <c r="C29" s="106"/>
      <c r="D29" s="87">
        <f>1/(SUM('Q12'!C20:C26) + 1)</f>
        <v>1.8181818181818181E-2</v>
      </c>
    </row>
    <row r="30" spans="2:7">
      <c r="B30" s="107" t="s">
        <v>89</v>
      </c>
      <c r="C30" s="107"/>
      <c r="D30" s="89">
        <f>AVERAGE('Q12'!E20:E26)</f>
        <v>1.2857142857142858</v>
      </c>
    </row>
    <row r="31" spans="2:7">
      <c r="B31" s="107" t="s">
        <v>88</v>
      </c>
      <c r="C31" s="107"/>
      <c r="D31" s="89">
        <f>3-D30</f>
        <v>1.7142857142857142</v>
      </c>
    </row>
  </sheetData>
  <mergeCells count="4">
    <mergeCell ref="D14:G14"/>
    <mergeCell ref="B30:C30"/>
    <mergeCell ref="B31:C31"/>
    <mergeCell ref="B29:C2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B5:I19"/>
  <sheetViews>
    <sheetView workbookViewId="0">
      <selection activeCell="G14" sqref="G14"/>
    </sheetView>
  </sheetViews>
  <sheetFormatPr defaultRowHeight="14.4"/>
  <sheetData>
    <row r="5" spans="2:4">
      <c r="B5" s="78" t="s">
        <v>5</v>
      </c>
      <c r="C5" s="79">
        <f>1/20</f>
        <v>0.05</v>
      </c>
      <c r="D5" s="80" t="s">
        <v>17</v>
      </c>
    </row>
    <row r="6" spans="2:4">
      <c r="B6" s="77" t="s">
        <v>7</v>
      </c>
      <c r="C6" s="79">
        <f>12/60</f>
        <v>0.2</v>
      </c>
      <c r="D6" s="80" t="s">
        <v>17</v>
      </c>
    </row>
    <row r="7" spans="2:4">
      <c r="B7" s="77" t="s">
        <v>8</v>
      </c>
      <c r="C7" s="79">
        <f>C6/C5</f>
        <v>4</v>
      </c>
      <c r="D7" s="80"/>
    </row>
    <row r="8" spans="2:4" ht="15.6">
      <c r="B8" s="115" t="s">
        <v>86</v>
      </c>
      <c r="C8" s="116"/>
      <c r="D8" s="117"/>
    </row>
    <row r="9" spans="2:4">
      <c r="B9" s="78">
        <v>0</v>
      </c>
      <c r="C9" s="79">
        <f>EXP(-$C$7)</f>
        <v>1.8315638888734179E-2</v>
      </c>
      <c r="D9" s="80"/>
    </row>
    <row r="10" spans="2:4">
      <c r="B10" s="77">
        <v>1</v>
      </c>
      <c r="C10" s="79">
        <f t="shared" ref="C10:C16" si="0">($C$9*$C$7^B10)/FACT(B10)</f>
        <v>7.3262555554936715E-2</v>
      </c>
      <c r="D10" s="80"/>
    </row>
    <row r="11" spans="2:4">
      <c r="B11" s="77">
        <v>2</v>
      </c>
      <c r="C11" s="79">
        <f t="shared" si="0"/>
        <v>0.14652511110987343</v>
      </c>
      <c r="D11" s="80"/>
    </row>
    <row r="12" spans="2:4">
      <c r="B12" s="78">
        <v>3</v>
      </c>
      <c r="C12" s="79">
        <f t="shared" si="0"/>
        <v>0.19536681481316456</v>
      </c>
      <c r="D12" s="80"/>
    </row>
    <row r="13" spans="2:4">
      <c r="B13" s="77">
        <v>4</v>
      </c>
      <c r="C13" s="79">
        <f t="shared" si="0"/>
        <v>0.19536681481316456</v>
      </c>
      <c r="D13" s="80"/>
    </row>
    <row r="14" spans="2:4">
      <c r="B14" s="78">
        <v>5</v>
      </c>
      <c r="C14" s="79">
        <f t="shared" si="0"/>
        <v>0.15629345185053165</v>
      </c>
      <c r="D14" s="80"/>
    </row>
    <row r="15" spans="2:4">
      <c r="B15" s="77">
        <v>6</v>
      </c>
      <c r="C15" s="79">
        <f t="shared" si="0"/>
        <v>0.10419563456702111</v>
      </c>
      <c r="D15" s="80"/>
    </row>
    <row r="16" spans="2:4">
      <c r="B16" s="77">
        <v>7</v>
      </c>
      <c r="C16" s="79">
        <f t="shared" si="0"/>
        <v>5.9540362609726345E-2</v>
      </c>
      <c r="D16" s="80"/>
    </row>
    <row r="17" spans="2:9">
      <c r="B17" s="77" t="s">
        <v>90</v>
      </c>
      <c r="C17" s="79">
        <f>SUM(C9:C16)</f>
        <v>0.94886638420715252</v>
      </c>
      <c r="D17" s="80"/>
    </row>
    <row r="19" spans="2:9">
      <c r="B19" s="118" t="s">
        <v>91</v>
      </c>
      <c r="C19" s="118"/>
      <c r="D19" s="118"/>
      <c r="E19" s="118"/>
      <c r="F19" s="118"/>
      <c r="G19" s="118"/>
      <c r="H19" s="118"/>
      <c r="I19" s="118"/>
    </row>
  </sheetData>
  <mergeCells count="2">
    <mergeCell ref="B8:D8"/>
    <mergeCell ref="B19:I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INTRO</vt:lpstr>
      <vt:lpstr>Q1</vt:lpstr>
      <vt:lpstr>Q2</vt:lpstr>
      <vt:lpstr>Q3</vt:lpstr>
      <vt:lpstr>Q4</vt:lpstr>
      <vt:lpstr>Q5</vt:lpstr>
      <vt:lpstr>Q6</vt:lpstr>
      <vt:lpstr>Q7</vt:lpstr>
      <vt:lpstr>Q8</vt:lpstr>
      <vt:lpstr>Q9</vt:lpstr>
      <vt:lpstr>Q10</vt:lpstr>
      <vt:lpstr>Q11</vt:lpstr>
      <vt:lpstr>Q12</vt:lpstr>
      <vt:lpstr>Q13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ASUS</cp:lastModifiedBy>
  <dcterms:created xsi:type="dcterms:W3CDTF">2023-10-31T10:42:55Z</dcterms:created>
  <dcterms:modified xsi:type="dcterms:W3CDTF">2023-12-18T11:32:59Z</dcterms:modified>
</cp:coreProperties>
</file>